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nskidan\Box Sync\"/>
    </mc:Choice>
  </mc:AlternateContent>
  <bookViews>
    <workbookView xWindow="0" yWindow="0" windowWidth="38400" windowHeight="11235" activeTab="3"/>
  </bookViews>
  <sheets>
    <sheet name="Borrowing Base" sheetId="5" r:id="rId1"/>
    <sheet name="Document List" sheetId="10" r:id="rId2"/>
    <sheet name="AR aging" sheetId="6" r:id="rId3"/>
    <sheet name="detailed AR aging" sheetId="7" r:id="rId4"/>
    <sheet name="AP aging" sheetId="9" r:id="rId5"/>
    <sheet name="Inventory Listing" sheetId="8" r:id="rId6"/>
  </sheets>
  <functionGroups builtInGroupCount="18"/>
  <definedNames>
    <definedName name="_xlnm._FilterDatabase" localSheetId="3" hidden="1">'detailed AR aging'!$A$1:$K$136</definedName>
    <definedName name="Debtors">#REF!</definedName>
    <definedName name="Net_Terms">#REF!</definedName>
  </definedNames>
  <calcPr calcId="171027"/>
</workbook>
</file>

<file path=xl/calcChain.xml><?xml version="1.0" encoding="utf-8"?>
<calcChain xmlns="http://schemas.openxmlformats.org/spreadsheetml/2006/main">
  <c r="B39" i="9" l="1"/>
  <c r="C39" i="9"/>
  <c r="D39" i="9"/>
  <c r="G39" i="9" s="1"/>
  <c r="E39" i="9"/>
  <c r="F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G2" i="9"/>
  <c r="H24" i="5"/>
  <c r="H25" i="5"/>
  <c r="G32" i="5" s="1"/>
  <c r="D12" i="5"/>
  <c r="F2" i="6"/>
  <c r="F3" i="6"/>
  <c r="F4" i="6"/>
  <c r="F23" i="6" s="1"/>
  <c r="G2" i="6" s="1"/>
  <c r="G3" i="6" s="1"/>
  <c r="G4" i="6" s="1"/>
  <c r="G5" i="6" s="1"/>
  <c r="G6" i="6" s="1"/>
  <c r="G7" i="6" s="1"/>
  <c r="G8" i="6" s="1"/>
  <c r="G9" i="6" s="1"/>
  <c r="G10" i="6" s="1"/>
  <c r="G11" i="6" s="1"/>
  <c r="G12" i="6" s="1"/>
  <c r="G13" i="6" s="1"/>
  <c r="G14" i="6" s="1"/>
  <c r="G15" i="6" s="1"/>
  <c r="G16" i="6" s="1"/>
  <c r="G17" i="6" s="1"/>
  <c r="G18" i="6" s="1"/>
  <c r="G19" i="6" s="1"/>
  <c r="G20" i="6" s="1"/>
  <c r="G21" i="6" s="1"/>
  <c r="G22" i="6" s="1"/>
  <c r="F5" i="6"/>
  <c r="F6" i="6"/>
  <c r="F7" i="6"/>
  <c r="F8" i="6"/>
  <c r="H8" i="6" s="1"/>
  <c r="I8" i="6" s="1"/>
  <c r="J8" i="6" s="1"/>
  <c r="F9" i="6"/>
  <c r="F10" i="6"/>
  <c r="F11" i="6"/>
  <c r="F12" i="6"/>
  <c r="H12" i="6" s="1"/>
  <c r="I12" i="6" s="1"/>
  <c r="J12" i="6" s="1"/>
  <c r="F13" i="6"/>
  <c r="F14" i="6"/>
  <c r="F15" i="6"/>
  <c r="F16" i="6"/>
  <c r="H16" i="6" s="1"/>
  <c r="I16" i="6" s="1"/>
  <c r="J16" i="6" s="1"/>
  <c r="F17" i="6"/>
  <c r="F18" i="6"/>
  <c r="F19" i="6"/>
  <c r="F20" i="6"/>
  <c r="H20" i="6" s="1"/>
  <c r="I20" i="6" s="1"/>
  <c r="J20" i="6" s="1"/>
  <c r="F21" i="6"/>
  <c r="F22" i="6"/>
  <c r="E23" i="6"/>
  <c r="D14" i="5" s="1"/>
  <c r="D23" i="6"/>
  <c r="D13" i="5" s="1"/>
  <c r="C23" i="6"/>
  <c r="B23" i="6"/>
  <c r="D11" i="5" s="1"/>
  <c r="H22" i="6"/>
  <c r="I22" i="6" s="1"/>
  <c r="J22" i="6" s="1"/>
  <c r="H21" i="6"/>
  <c r="I21" i="6" s="1"/>
  <c r="J21" i="6" s="1"/>
  <c r="H19" i="6"/>
  <c r="I19" i="6" s="1"/>
  <c r="J19" i="6" s="1"/>
  <c r="H18" i="6"/>
  <c r="I18" i="6"/>
  <c r="J18" i="6" s="1"/>
  <c r="H17" i="6"/>
  <c r="I17" i="6" s="1"/>
  <c r="J17" i="6" s="1"/>
  <c r="H15" i="6"/>
  <c r="I15" i="6" s="1"/>
  <c r="J15" i="6" s="1"/>
  <c r="H14" i="6"/>
  <c r="I14" i="6"/>
  <c r="J14" i="6" s="1"/>
  <c r="H13" i="6"/>
  <c r="I13" i="6" s="1"/>
  <c r="J13" i="6" s="1"/>
  <c r="H11" i="6"/>
  <c r="I11" i="6" s="1"/>
  <c r="J11" i="6" s="1"/>
  <c r="H10" i="6"/>
  <c r="I10" i="6"/>
  <c r="J10" i="6" s="1"/>
  <c r="H9" i="6"/>
  <c r="I9" i="6" s="1"/>
  <c r="J9" i="6" s="1"/>
  <c r="H7" i="6"/>
  <c r="I7" i="6" s="1"/>
  <c r="J7" i="6" s="1"/>
  <c r="H6" i="6"/>
  <c r="I6" i="6"/>
  <c r="J6" i="6" s="1"/>
  <c r="H5" i="6"/>
  <c r="I5" i="6" s="1"/>
  <c r="J5" i="6" s="1"/>
  <c r="H3" i="6"/>
  <c r="I3" i="6" s="1"/>
  <c r="J3" i="6" s="1"/>
  <c r="H2" i="6"/>
  <c r="I2" i="6"/>
  <c r="J2" i="6" s="1"/>
  <c r="D24" i="5"/>
  <c r="H16" i="5" s="1"/>
  <c r="D23" i="5"/>
  <c r="D22" i="5"/>
  <c r="G15" i="5"/>
  <c r="G20" i="5"/>
  <c r="G46" i="5"/>
  <c r="D15" i="5" l="1"/>
  <c r="G11" i="5" s="1"/>
  <c r="G17" i="5"/>
  <c r="G18" i="5" s="1"/>
  <c r="G21" i="5" s="1"/>
  <c r="H4" i="6"/>
  <c r="I4" i="6" s="1"/>
  <c r="J4" i="6" s="1"/>
  <c r="D18" i="5" s="1"/>
  <c r="H12" i="5" s="1"/>
  <c r="G13" i="5" l="1"/>
  <c r="G14" i="5" s="1"/>
  <c r="G22" i="5" s="1"/>
  <c r="G23" i="5" l="1"/>
  <c r="G26" i="5" s="1"/>
  <c r="G35" i="5" s="1"/>
</calcChain>
</file>

<file path=xl/sharedStrings.xml><?xml version="1.0" encoding="utf-8"?>
<sst xmlns="http://schemas.openxmlformats.org/spreadsheetml/2006/main" count="863" uniqueCount="384">
  <si>
    <t>BORROWING BASE CERTIFICATE</t>
  </si>
  <si>
    <t>Gross Receivables</t>
  </si>
  <si>
    <t>Legal</t>
  </si>
  <si>
    <t>Eligible Receivables</t>
  </si>
  <si>
    <t>Prior Loan Amount</t>
  </si>
  <si>
    <t>Notice</t>
  </si>
  <si>
    <t>Client:</t>
  </si>
  <si>
    <t>Authorized Signature</t>
  </si>
  <si>
    <t>Date:</t>
  </si>
  <si>
    <t>31-60</t>
  </si>
  <si>
    <t>61-90</t>
  </si>
  <si>
    <t>Receivables Summary</t>
  </si>
  <si>
    <t>To be held back From Advance</t>
  </si>
  <si>
    <t>Borrowing Base Summary</t>
  </si>
  <si>
    <t>Net Available</t>
  </si>
  <si>
    <t>Total Receivables</t>
  </si>
  <si>
    <t>Less Ineligible Receivables</t>
  </si>
  <si>
    <t>Collections</t>
  </si>
  <si>
    <t>Current Loan Amount</t>
  </si>
  <si>
    <t>Facility Line</t>
  </si>
  <si>
    <t>Loan Request</t>
  </si>
  <si>
    <t>Loan Availiability</t>
  </si>
  <si>
    <t>Over 90</t>
  </si>
  <si>
    <t>Expenses</t>
  </si>
  <si>
    <t>Closing Fees</t>
  </si>
  <si>
    <t>Other Fees</t>
  </si>
  <si>
    <t>Wire Costs</t>
  </si>
  <si>
    <t>Wire Fee</t>
  </si>
  <si>
    <t>1-30</t>
  </si>
  <si>
    <t>Inventory Summary</t>
  </si>
  <si>
    <t>Total Inventory Amount</t>
  </si>
  <si>
    <t>Total Inventory</t>
  </si>
  <si>
    <t>Less Ineligible Inventory</t>
  </si>
  <si>
    <t>Eligible Inventory</t>
  </si>
  <si>
    <t>Borrowers' Agent  hereby (a) warrants and certifies to Dwight Funding LLC (herein "Dwight") that all Accounts created since the prior Report are evidenced by invoice copies or schedules of accounts receivable attached hereto, and that the total of all Accounts on the books and records of Borrowers at said date is as shown and there is now owing on Accounts that amount; (b) warrants that the total of withdrawals since the prior report are as shown;  and (c) warrants that all collections received or credits allowed on Accounts previously assigned to Dwight have been duly and regularly entered to the credit of the respective debtors on the books and accounts of Borrowers; that all such collections have been remitted and all such credits have been reported to Dwight promptly; that none of the Accounts previously or hereby assigned have been sold, assigned or pledged to any other party; and that prompt report has been made to Dwight of returned or rejected goods covered by any Account previously assigned, with payment to Dwight of the amount thereof. Borrowers' Agent  hereby warrants and certifies to Dwight Funding LLC (herein"Dwight”) that all inventory made or acquired since the prior report is identified herein or is evidenced by suppliers' invoices, purchased journals, production reports, or other records attached hereto, and that the total of all inventory of Borrowers is as shown as of the date shown hereon for Inventory and that Borrowers now have in their possession and control, or in the possession of a third party of Dwight's account which third party has been identified in writing by Borrowers to Dwight.</t>
  </si>
  <si>
    <t>NOLV @ 75%</t>
  </si>
  <si>
    <t>NOLV Calculation</t>
  </si>
  <si>
    <t>Cross Age</t>
  </si>
  <si>
    <t>Ineligible Receivables</t>
  </si>
  <si>
    <t>Contra</t>
  </si>
  <si>
    <t>Eligible Inventory &gt; AR</t>
  </si>
  <si>
    <t>Eligible Inventory &lt; AR</t>
  </si>
  <si>
    <t>Available Inventory</t>
  </si>
  <si>
    <t>Eligible inventory</t>
  </si>
  <si>
    <t>Ineligible inventory</t>
  </si>
  <si>
    <t>Packaging</t>
  </si>
  <si>
    <t>Finished Goods</t>
  </si>
  <si>
    <t>Raw Materials</t>
  </si>
  <si>
    <t>Location</t>
  </si>
  <si>
    <t>Facility Name</t>
  </si>
  <si>
    <t>Type of Facility (3PL/own warehouse</t>
  </si>
  <si>
    <t>pipSnacks</t>
  </si>
  <si>
    <t>Detailed AR aging</t>
  </si>
  <si>
    <t>AP Summary</t>
  </si>
  <si>
    <t>Monthly Financials</t>
  </si>
  <si>
    <t>Random Supporting Invoice Documentation</t>
  </si>
  <si>
    <t>Row Labels</t>
  </si>
  <si>
    <t>Grand Total</t>
  </si>
  <si>
    <t>Exclusion</t>
  </si>
  <si>
    <t>True exclusion</t>
  </si>
  <si>
    <t>Cross Age %</t>
  </si>
  <si>
    <t>Bed Bath &amp; Beyond</t>
  </si>
  <si>
    <t>Beekman A Thompson Hotel</t>
  </si>
  <si>
    <t>Chex Finer Foods, Inc</t>
  </si>
  <si>
    <t>Exotic Gourmet</t>
  </si>
  <si>
    <t>KeHe</t>
  </si>
  <si>
    <t>Plymouth Hotel</t>
  </si>
  <si>
    <t>SnackNation</t>
  </si>
  <si>
    <t>Target</t>
  </si>
  <si>
    <t>UNFI</t>
  </si>
  <si>
    <t>Invoice</t>
  </si>
  <si>
    <t>Kehe:Kehe (Lehigh Valley)</t>
  </si>
  <si>
    <t>2% 10 Net 30</t>
  </si>
  <si>
    <t>Kehe:Kehe (Romeoville)</t>
  </si>
  <si>
    <t>UNFI East:UNFI (Hudson Valley)</t>
  </si>
  <si>
    <t>UNFI East:UNFI (Atlanta)</t>
  </si>
  <si>
    <t>UNFI West:UNFI (Gilroy)</t>
  </si>
  <si>
    <t>486030006</t>
  </si>
  <si>
    <t>UNFI West:UNFI (Rocklin)</t>
  </si>
  <si>
    <t>UNFI West:UNFI (Moreno Valley)</t>
  </si>
  <si>
    <t>Net 45</t>
  </si>
  <si>
    <t>Net 30</t>
  </si>
  <si>
    <t>UNFI East:UNFI (Dayville)</t>
  </si>
  <si>
    <t>UNFI East:UNFI (Greenwood)</t>
  </si>
  <si>
    <t>UNFI East:UNFI (York)</t>
  </si>
  <si>
    <t>UNFI East:UNFI (Chesterfield)</t>
  </si>
  <si>
    <t>UNFI East:UNFI (Racine)</t>
  </si>
  <si>
    <t>UNFI East:UNFI (Sarasota)</t>
  </si>
  <si>
    <t>Net 15</t>
  </si>
  <si>
    <t>Target (New):Target DC 0579</t>
  </si>
  <si>
    <t>Net 60</t>
  </si>
  <si>
    <t>Target (New):Target DC 0589</t>
  </si>
  <si>
    <t>Target (New):Target DC 3802</t>
  </si>
  <si>
    <t>Target (New):Target DC 0560</t>
  </si>
  <si>
    <t>Kehe:Kehe (Portland)</t>
  </si>
  <si>
    <t>UNFI West:UNFi (Lancaster)</t>
  </si>
  <si>
    <t>3860</t>
  </si>
  <si>
    <t>3847</t>
  </si>
  <si>
    <t>2502758</t>
  </si>
  <si>
    <t>3848</t>
  </si>
  <si>
    <t>2517214</t>
  </si>
  <si>
    <t>3808</t>
  </si>
  <si>
    <t>0071-2642248-0560</t>
  </si>
  <si>
    <t>3763</t>
  </si>
  <si>
    <t>&lt;0071-2849046-3802</t>
  </si>
  <si>
    <t>3757</t>
  </si>
  <si>
    <t>0071-2233999-3802</t>
  </si>
  <si>
    <t>Max Inventory Advance @ X%</t>
  </si>
  <si>
    <t>Current</t>
  </si>
  <si>
    <t>1 - 30</t>
  </si>
  <si>
    <t>31 - 60</t>
  </si>
  <si>
    <t>61 - 90</t>
  </si>
  <si>
    <t>&gt; 90</t>
  </si>
  <si>
    <t>TOTAL</t>
  </si>
  <si>
    <t>ACT Data Services</t>
  </si>
  <si>
    <t>Airgas</t>
  </si>
  <si>
    <t>Anchin Block &amp; Anchin LLP</t>
  </si>
  <si>
    <t>BET Information Systems</t>
  </si>
  <si>
    <t>Catania Spagna Corporation</t>
  </si>
  <si>
    <t>Cerco Products Inc</t>
  </si>
  <si>
    <t>CH Robinson</t>
  </si>
  <si>
    <t>ECOLAB</t>
  </si>
  <si>
    <t>Fuchs North America</t>
  </si>
  <si>
    <t>Giannuzzi Group LLP</t>
  </si>
  <si>
    <t>Nancy's Delivery Service</t>
  </si>
  <si>
    <t>NYC EDC</t>
  </si>
  <si>
    <t>POP Gourmet Foods</t>
  </si>
  <si>
    <t>Pratt Quality Carton LLC</t>
  </si>
  <si>
    <t>Propeller Industries</t>
  </si>
  <si>
    <t>Saltworks</t>
  </si>
  <si>
    <t>SCL Food Sales</t>
  </si>
  <si>
    <t>States Logistics Services Inc.,</t>
  </si>
  <si>
    <t>Sunteck Transport Co., Inc</t>
  </si>
  <si>
    <t>Tyler Distribution Centers,INC.</t>
  </si>
  <si>
    <t>Whole Foods Market - Scanbacks</t>
  </si>
  <si>
    <t>Hotel Service Group</t>
  </si>
  <si>
    <t>Taldepot</t>
  </si>
  <si>
    <t>Vegan Cuts</t>
  </si>
  <si>
    <t>4070</t>
  </si>
  <si>
    <t>4072</t>
  </si>
  <si>
    <t>4073</t>
  </si>
  <si>
    <t>4074</t>
  </si>
  <si>
    <t>4071</t>
  </si>
  <si>
    <t>2575235</t>
  </si>
  <si>
    <t>4060</t>
  </si>
  <si>
    <t>4061</t>
  </si>
  <si>
    <t>4062</t>
  </si>
  <si>
    <t>UNFI East:UNFI (Iowa City)</t>
  </si>
  <si>
    <t>4063</t>
  </si>
  <si>
    <t>4064</t>
  </si>
  <si>
    <t>4065</t>
  </si>
  <si>
    <t>4066</t>
  </si>
  <si>
    <t>4067</t>
  </si>
  <si>
    <t>4068</t>
  </si>
  <si>
    <t>4069</t>
  </si>
  <si>
    <t>4059</t>
  </si>
  <si>
    <t>4038</t>
  </si>
  <si>
    <t>4028</t>
  </si>
  <si>
    <t>4029</t>
  </si>
  <si>
    <t>4058</t>
  </si>
  <si>
    <t>527424</t>
  </si>
  <si>
    <t>3993</t>
  </si>
  <si>
    <t>0071-4305333-0560</t>
  </si>
  <si>
    <t>3994</t>
  </si>
  <si>
    <t>0071-4305333-0579</t>
  </si>
  <si>
    <t>3995</t>
  </si>
  <si>
    <t>0071-4305333-0589</t>
  </si>
  <si>
    <t>4025</t>
  </si>
  <si>
    <t>0071-4305333-3802</t>
  </si>
  <si>
    <t>4027</t>
  </si>
  <si>
    <t>1028</t>
  </si>
  <si>
    <t>Realized Fees</t>
  </si>
  <si>
    <t>Monthly Credits</t>
  </si>
  <si>
    <t>Concentration</t>
  </si>
  <si>
    <t>AirStream Foods</t>
  </si>
  <si>
    <t>Nassau Candy</t>
  </si>
  <si>
    <t>The James NY Soho</t>
  </si>
  <si>
    <t>3971829</t>
  </si>
  <si>
    <t>UNFI East:UNFI (Richburg)</t>
  </si>
  <si>
    <t>4134</t>
  </si>
  <si>
    <t>957</t>
  </si>
  <si>
    <t>4117</t>
  </si>
  <si>
    <t>501186</t>
  </si>
  <si>
    <t>1033</t>
  </si>
  <si>
    <t>0071-8912895-0579</t>
  </si>
  <si>
    <t>0071-8912895-0589</t>
  </si>
  <si>
    <t>0071-8912895-3802</t>
  </si>
  <si>
    <t>4092</t>
  </si>
  <si>
    <t>2575882</t>
  </si>
  <si>
    <t>4093</t>
  </si>
  <si>
    <t>2576104</t>
  </si>
  <si>
    <t>4116</t>
  </si>
  <si>
    <t>1032</t>
  </si>
  <si>
    <t>0071-9436691-0579</t>
  </si>
  <si>
    <t>0071-9436691-0589</t>
  </si>
  <si>
    <t>0071-9436691-3802</t>
  </si>
  <si>
    <t>0071-2351710-0589</t>
  </si>
  <si>
    <t>0071-2351710-3802</t>
  </si>
  <si>
    <t>45378</t>
  </si>
  <si>
    <t>0071-6617375-0579</t>
  </si>
  <si>
    <t>0071-6617375-0589</t>
  </si>
  <si>
    <t>0071-6617375-3802</t>
  </si>
  <si>
    <t>0071-1794682-0560</t>
  </si>
  <si>
    <t>0071-1794682-0579</t>
  </si>
  <si>
    <t>0071-1794682-0589</t>
  </si>
  <si>
    <t>0071-1794682-3802</t>
  </si>
  <si>
    <t>4026</t>
  </si>
  <si>
    <t>0071-8579695-0560</t>
  </si>
  <si>
    <t>0071-8579695-0579</t>
  </si>
  <si>
    <t>0071-8579695-0589</t>
  </si>
  <si>
    <t>0071-8579695-3802</t>
  </si>
  <si>
    <t>Company</t>
  </si>
  <si>
    <t>Ziggy Snack Foods LLC</t>
  </si>
  <si>
    <t>Colavita USA LLC</t>
  </si>
  <si>
    <t>FedEx Truckload Brokerage</t>
  </si>
  <si>
    <t>New Seasons Markets</t>
  </si>
  <si>
    <t>Starter Up Demo Team Inc.</t>
  </si>
  <si>
    <t>Max Receivable Advance @ 82.5%</t>
  </si>
  <si>
    <t>DPI Mid Atlantic</t>
  </si>
  <si>
    <t>IX-ONE</t>
  </si>
  <si>
    <t>Stephan Alessi Studios</t>
  </si>
  <si>
    <t>max available</t>
  </si>
  <si>
    <t>Contras</t>
  </si>
  <si>
    <t>None</t>
  </si>
  <si>
    <t>4165</t>
  </si>
  <si>
    <t>3981199</t>
  </si>
  <si>
    <t>4166</t>
  </si>
  <si>
    <t>3981225</t>
  </si>
  <si>
    <t>4167</t>
  </si>
  <si>
    <t>3981229</t>
  </si>
  <si>
    <t>4164</t>
  </si>
  <si>
    <t>1036</t>
  </si>
  <si>
    <t>4163</t>
  </si>
  <si>
    <t>052617</t>
  </si>
  <si>
    <t>4155</t>
  </si>
  <si>
    <t>0071-4341627-0560</t>
  </si>
  <si>
    <t>4156</t>
  </si>
  <si>
    <t>0071-4341627-0579</t>
  </si>
  <si>
    <t>4157</t>
  </si>
  <si>
    <t>0071-4341627-0589</t>
  </si>
  <si>
    <t>4158</t>
  </si>
  <si>
    <t>0071-4341627-3802</t>
  </si>
  <si>
    <t>1034</t>
  </si>
  <si>
    <t>051917</t>
  </si>
  <si>
    <t>0071-9436691-0560</t>
  </si>
  <si>
    <t>Payment</t>
  </si>
  <si>
    <t>769493</t>
  </si>
  <si>
    <t>Target (New)</t>
  </si>
  <si>
    <t>416168690</t>
  </si>
  <si>
    <t>4045</t>
  </si>
  <si>
    <t>045202</t>
  </si>
  <si>
    <t>3774</t>
  </si>
  <si>
    <t>3802055</t>
  </si>
  <si>
    <t>Riehle Farms</t>
  </si>
  <si>
    <t>Garvey Schubert Barer</t>
  </si>
  <si>
    <t>Dirty Hands, LLC</t>
  </si>
  <si>
    <t>Labelworx</t>
  </si>
  <si>
    <t>Phoodie Marketing</t>
  </si>
  <si>
    <t>4168</t>
  </si>
  <si>
    <t>3981212</t>
  </si>
  <si>
    <t>4169</t>
  </si>
  <si>
    <t>3981228</t>
  </si>
  <si>
    <t>4170</t>
  </si>
  <si>
    <t>3981220</t>
  </si>
  <si>
    <t>4183</t>
  </si>
  <si>
    <t>2139793</t>
  </si>
  <si>
    <t>YP Natural, Inc.</t>
  </si>
  <si>
    <t>Chopt</t>
  </si>
  <si>
    <t>James NoMad</t>
  </si>
  <si>
    <t>4207</t>
  </si>
  <si>
    <t>3981206</t>
  </si>
  <si>
    <t>4208</t>
  </si>
  <si>
    <t>5232017NYFA</t>
  </si>
  <si>
    <t>4209</t>
  </si>
  <si>
    <t>523017NC</t>
  </si>
  <si>
    <t>4210</t>
  </si>
  <si>
    <t>5232017NYCOMM</t>
  </si>
  <si>
    <t>4200</t>
  </si>
  <si>
    <t>421860</t>
  </si>
  <si>
    <t>4201</t>
  </si>
  <si>
    <t>3998778</t>
  </si>
  <si>
    <t>4204</t>
  </si>
  <si>
    <t>3998906</t>
  </si>
  <si>
    <t>4205</t>
  </si>
  <si>
    <t>3981217</t>
  </si>
  <si>
    <t>4202</t>
  </si>
  <si>
    <t>2140302</t>
  </si>
  <si>
    <t>4206</t>
  </si>
  <si>
    <t>13740</t>
  </si>
  <si>
    <t>4171</t>
  </si>
  <si>
    <t>0071-6753339-0560</t>
  </si>
  <si>
    <t>4172</t>
  </si>
  <si>
    <t>0071-6753339-0579</t>
  </si>
  <si>
    <t>4173</t>
  </si>
  <si>
    <t>0071-6753339-0589</t>
  </si>
  <si>
    <t>4174</t>
  </si>
  <si>
    <t>0071-6753339-3802</t>
  </si>
  <si>
    <t>4188</t>
  </si>
  <si>
    <t>BKM-0000878</t>
  </si>
  <si>
    <t>4186</t>
  </si>
  <si>
    <t>PIP720234</t>
  </si>
  <si>
    <t>4187</t>
  </si>
  <si>
    <t>2425</t>
  </si>
  <si>
    <t>4185</t>
  </si>
  <si>
    <t>416184540</t>
  </si>
  <si>
    <t>1038</t>
  </si>
  <si>
    <t>4175</t>
  </si>
  <si>
    <t>060217</t>
  </si>
  <si>
    <t>4159</t>
  </si>
  <si>
    <t>0071-6959922-0560</t>
  </si>
  <si>
    <t>4160</t>
  </si>
  <si>
    <t>0071-6959922-0579</t>
  </si>
  <si>
    <t>4161</t>
  </si>
  <si>
    <t>0071-6959922-0589</t>
  </si>
  <si>
    <t>4162</t>
  </si>
  <si>
    <t>0071-6959922-3802</t>
  </si>
  <si>
    <t>1037</t>
  </si>
  <si>
    <t>4184</t>
  </si>
  <si>
    <t>41210</t>
  </si>
  <si>
    <t>4190</t>
  </si>
  <si>
    <t>41546</t>
  </si>
  <si>
    <t>4150</t>
  </si>
  <si>
    <t>042817</t>
  </si>
  <si>
    <t>042617</t>
  </si>
  <si>
    <t>Handelok Bag Company/HBC Packaging</t>
  </si>
  <si>
    <t>Teresa Tsou</t>
  </si>
  <si>
    <t>Shelf Keepers</t>
  </si>
  <si>
    <t>Pinknic</t>
  </si>
  <si>
    <t>4216</t>
  </si>
  <si>
    <t>476552969</t>
  </si>
  <si>
    <t>4217</t>
  </si>
  <si>
    <t>486038531</t>
  </si>
  <si>
    <t>4218</t>
  </si>
  <si>
    <t>2632274</t>
  </si>
  <si>
    <t>4219</t>
  </si>
  <si>
    <t>2140765</t>
  </si>
  <si>
    <t>4220</t>
  </si>
  <si>
    <t>2140946</t>
  </si>
  <si>
    <t>4214</t>
  </si>
  <si>
    <t>2612884</t>
  </si>
  <si>
    <t>4215</t>
  </si>
  <si>
    <t>416186359</t>
  </si>
  <si>
    <t>4213</t>
  </si>
  <si>
    <t>501508</t>
  </si>
  <si>
    <t>4211</t>
  </si>
  <si>
    <t>4006764</t>
  </si>
  <si>
    <t>0071-8090819-0560</t>
  </si>
  <si>
    <t>4176</t>
  </si>
  <si>
    <t>4181</t>
  </si>
  <si>
    <t>0071-7469551-0589</t>
  </si>
  <si>
    <t>4182</t>
  </si>
  <si>
    <t>0071-7469551-3802</t>
  </si>
  <si>
    <t>4212</t>
  </si>
  <si>
    <t>GOV100</t>
  </si>
  <si>
    <t>4177</t>
  </si>
  <si>
    <t>0071-8090819-0589</t>
  </si>
  <si>
    <t>4178</t>
  </si>
  <si>
    <t>0071-8090819-3802</t>
  </si>
  <si>
    <t>4179</t>
  </si>
  <si>
    <t>0071-7469551-0560</t>
  </si>
  <si>
    <t>4180</t>
  </si>
  <si>
    <t>0071-7469551-0579</t>
  </si>
  <si>
    <t>42027</t>
  </si>
  <si>
    <t>PIP720235</t>
  </si>
  <si>
    <t>Haddon House</t>
  </si>
  <si>
    <t>4226</t>
  </si>
  <si>
    <t>501690</t>
  </si>
  <si>
    <t>4221</t>
  </si>
  <si>
    <t>4016088</t>
  </si>
  <si>
    <t>4222</t>
  </si>
  <si>
    <t>4016090</t>
  </si>
  <si>
    <t>4223</t>
  </si>
  <si>
    <t>4016091</t>
  </si>
  <si>
    <t>4224</t>
  </si>
  <si>
    <t>4016092</t>
  </si>
  <si>
    <t>4225</t>
  </si>
  <si>
    <t>2141165</t>
  </si>
  <si>
    <t>4119</t>
  </si>
  <si>
    <t>3962261</t>
  </si>
  <si>
    <t>3857</t>
  </si>
  <si>
    <t>0071-8334565-0589</t>
  </si>
  <si>
    <t>1113147</t>
  </si>
  <si>
    <t>PO Advance</t>
  </si>
  <si>
    <t>Advantage Sales &amp; Marketing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</si>
</sst>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_);[Red]\(&quot;$&quot;#,##0.00\)"/>
    <numFmt numFmtId="44" formatCode="_(&quot;$&quot;* #,##0.00_);_(&quot;$&quot;* \(#,##0.00\);_(&quot;$&quot;* &quot;-&quot;??_);_(@_)"/>
    <numFmt numFmtId="164" formatCode="[$-409]mmmm\ d\,\ yyyy;@"/>
    <numFmt numFmtId="165" formatCode="_-&quot;$&quot;* #,##0.00_-;\-&quot;$&quot;* #,##0.00_-;_-&quot;$&quot;* &quot;-&quot;??_-;_-@_-"/>
    <numFmt numFmtId="166" formatCode="mm/dd/yyyy"/>
    <numFmt numFmtId="167" formatCode="#,##0;\-#,##0"/>
    <numFmt numFmtId="168" formatCode="#,##0.00;\-#,##0.00"/>
  </numFmts>
  <fonts count="36">
    <font>
      <sz val="11"/>
      <color theme="1"/>
      <name val="Calibri"/>
      <family val="2"/>
      <scheme val="minor"/>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30"/>
      <color theme="1"/>
      <name val="Proxima Nova Rg"/>
      <family val="3"/>
    </font>
    <font>
      <b/>
      <sz val="26"/>
      <color theme="1"/>
      <name val="Calibri"/>
      <family val="2"/>
      <scheme val="minor"/>
    </font>
    <font>
      <b/>
      <sz val="25"/>
      <color theme="1"/>
      <name val="Proxima Nova Rg"/>
      <family val="3"/>
    </font>
    <font>
      <sz val="14"/>
      <color theme="1"/>
      <name val="Calibri"/>
      <family val="2"/>
      <scheme val="minor"/>
    </font>
    <font>
      <b/>
      <sz val="14"/>
      <name val="Calibri"/>
      <family val="2"/>
      <scheme val="minor"/>
    </font>
    <font>
      <b/>
      <sz val="10"/>
      <name val="Calibri"/>
      <family val="2"/>
      <scheme val="minor"/>
    </font>
    <font>
      <sz val="11"/>
      <color rgb="FF000000"/>
      <name val="Calibri"/>
      <family val="2"/>
      <scheme val="minor"/>
    </font>
    <font>
      <sz val="11"/>
      <name val="Calibri"/>
      <family val="2"/>
      <scheme val="minor"/>
    </font>
    <font>
      <sz val="10"/>
      <name val="Calibri"/>
      <family val="2"/>
      <scheme val="minor"/>
    </font>
    <font>
      <sz val="10"/>
      <color theme="1"/>
      <name val="Calibri"/>
      <family val="2"/>
      <scheme val="minor"/>
    </font>
    <font>
      <sz val="9"/>
      <name val="Calibri"/>
      <family val="2"/>
      <scheme val="minor"/>
    </font>
    <font>
      <b/>
      <i/>
      <sz val="11"/>
      <color theme="1"/>
      <name val="Calibri"/>
      <family val="2"/>
      <scheme val="minor"/>
    </font>
    <font>
      <sz val="13"/>
      <color theme="1"/>
      <name val="Calibri"/>
      <family val="2"/>
      <scheme val="minor"/>
    </font>
    <font>
      <b/>
      <i/>
      <sz val="10"/>
      <name val="Arial"/>
      <family val="2"/>
    </font>
    <font>
      <sz val="10"/>
      <name val="Arial"/>
      <family val="2"/>
    </font>
    <font>
      <b/>
      <sz val="8"/>
      <color rgb="FF000000"/>
      <name val="Arial"/>
      <family val="2"/>
    </font>
    <font>
      <b/>
      <sz val="8"/>
      <color rgb="FF323232"/>
      <name val="Arial"/>
      <family val="2"/>
    </font>
    <font>
      <sz val="8"/>
      <color rgb="FF323232"/>
      <name val="Arial"/>
      <family val="2"/>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0" tint="-0.34998626667073579"/>
        <bgColor indexed="64"/>
      </patternFill>
    </fill>
    <fill>
      <patternFill patternType="solid">
        <fgColor theme="0" tint="-0.14999847407452621"/>
        <bgColor indexed="64"/>
      </patternFill>
    </fill>
    <fill>
      <patternFill patternType="mediumGray"/>
    </fill>
  </fills>
  <borders count="28">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auto="1"/>
      </bottom>
      <diagonal/>
    </border>
    <border>
      <left/>
      <right/>
      <top style="thin">
        <color indexed="64"/>
      </top>
      <bottom/>
      <diagonal/>
    </border>
    <border>
      <left/>
      <right/>
      <top/>
      <bottom style="dashed">
        <color indexed="64"/>
      </bottom>
      <diagonal/>
    </border>
    <border>
      <left/>
      <right/>
      <top style="dashed">
        <color indexed="64"/>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right/>
      <top style="medium">
        <color indexed="64"/>
      </top>
      <bottom style="double">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2" applyNumberFormat="0" applyAlignment="0" applyProtection="0"/>
    <xf numFmtId="0" fontId="5" fillId="28" borderId="3" applyNumberFormat="0" applyAlignment="0" applyProtection="0"/>
    <xf numFmtId="44" fontId="1" fillId="0" borderId="0" applyFont="0" applyFill="0" applyBorder="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4" applyNumberFormat="0" applyFill="0" applyAlignment="0" applyProtection="0"/>
    <xf numFmtId="0" fontId="9" fillId="0" borderId="5" applyNumberFormat="0" applyFill="0" applyAlignment="0" applyProtection="0"/>
    <xf numFmtId="0" fontId="10" fillId="0" borderId="6" applyNumberFormat="0" applyFill="0" applyAlignment="0" applyProtection="0"/>
    <xf numFmtId="0" fontId="10" fillId="0" borderId="0" applyNumberFormat="0" applyFill="0" applyBorder="0" applyAlignment="0" applyProtection="0"/>
    <xf numFmtId="0" fontId="11" fillId="30" borderId="2" applyNumberFormat="0" applyAlignment="0" applyProtection="0"/>
    <xf numFmtId="0" fontId="12" fillId="0" borderId="7" applyNumberFormat="0" applyFill="0" applyAlignment="0" applyProtection="0"/>
    <xf numFmtId="0" fontId="13" fillId="31" borderId="0" applyNumberFormat="0" applyBorder="0" applyAlignment="0" applyProtection="0"/>
    <xf numFmtId="0" fontId="1" fillId="32" borderId="8" applyNumberFormat="0" applyFont="0" applyAlignment="0" applyProtection="0"/>
    <xf numFmtId="0" fontId="14" fillId="27" borderId="9" applyNumberFormat="0" applyAlignment="0" applyProtection="0"/>
    <xf numFmtId="0" fontId="15" fillId="0" borderId="0" applyNumberFormat="0" applyFill="0" applyBorder="0" applyAlignment="0" applyProtection="0"/>
    <xf numFmtId="0" fontId="16" fillId="0" borderId="10" applyNumberFormat="0" applyFill="0" applyAlignment="0" applyProtection="0"/>
    <xf numFmtId="0" fontId="17" fillId="0" borderId="0" applyNumberFormat="0" applyFill="0" applyBorder="0" applyAlignment="0" applyProtection="0"/>
  </cellStyleXfs>
  <cellXfs count="111">
    <xf numFmtId="0" fontId="0" fillId="0" borderId="0" xfId="0"/>
    <xf numFmtId="0" fontId="16" fillId="0" borderId="0" xfId="0" applyFont="1"/>
    <xf numFmtId="0" fontId="0" fillId="0" borderId="0" xfId="0" applyFont="1"/>
    <xf numFmtId="0" fontId="0" fillId="0" borderId="0" xfId="0" applyFont="1" applyBorder="1"/>
    <xf numFmtId="0" fontId="18" fillId="0" borderId="11" xfId="0" applyFont="1" applyBorder="1" applyAlignment="1">
      <alignment vertical="center"/>
    </xf>
    <xf numFmtId="0" fontId="18" fillId="0" borderId="12" xfId="0" applyFont="1" applyBorder="1" applyAlignment="1">
      <alignment vertical="center"/>
    </xf>
    <xf numFmtId="0" fontId="19" fillId="0" borderId="12" xfId="0" applyFont="1" applyBorder="1" applyAlignment="1"/>
    <xf numFmtId="0" fontId="19" fillId="0" borderId="13" xfId="0" applyFont="1" applyBorder="1" applyAlignment="1"/>
    <xf numFmtId="0" fontId="18" fillId="0" borderId="14" xfId="0" applyFont="1" applyBorder="1" applyAlignment="1">
      <alignment vertical="center"/>
    </xf>
    <xf numFmtId="0" fontId="19" fillId="0" borderId="0" xfId="0" applyFont="1" applyBorder="1" applyAlignment="1"/>
    <xf numFmtId="0" fontId="19" fillId="0" borderId="15" xfId="0" applyFont="1" applyBorder="1" applyAlignment="1"/>
    <xf numFmtId="0" fontId="21" fillId="0" borderId="0" xfId="0" applyFont="1"/>
    <xf numFmtId="0" fontId="22" fillId="0" borderId="0" xfId="0" applyFont="1" applyBorder="1" applyAlignment="1">
      <alignment horizontal="left" vertical="center"/>
    </xf>
    <xf numFmtId="0" fontId="22" fillId="0" borderId="19" xfId="0" applyFont="1" applyBorder="1" applyAlignment="1">
      <alignment horizontal="left" vertical="center"/>
    </xf>
    <xf numFmtId="0" fontId="0" fillId="0" borderId="14" xfId="0" applyFont="1" applyBorder="1"/>
    <xf numFmtId="0" fontId="0" fillId="0" borderId="13" xfId="0" applyFont="1" applyBorder="1"/>
    <xf numFmtId="0" fontId="23" fillId="35" borderId="0" xfId="0" applyFont="1" applyFill="1" applyBorder="1" applyAlignment="1">
      <alignment horizontal="center" vertical="center"/>
    </xf>
    <xf numFmtId="0" fontId="23" fillId="35" borderId="0" xfId="0" applyFont="1" applyFill="1" applyBorder="1" applyAlignment="1">
      <alignment horizontal="center" vertical="center" wrapText="1"/>
    </xf>
    <xf numFmtId="0" fontId="0" fillId="0" borderId="15" xfId="0" applyFont="1" applyBorder="1"/>
    <xf numFmtId="0" fontId="24" fillId="0" borderId="0" xfId="0" applyFont="1" applyFill="1" applyBorder="1" applyAlignment="1">
      <alignment vertical="top"/>
    </xf>
    <xf numFmtId="165" fontId="24" fillId="0" borderId="0" xfId="28" applyNumberFormat="1" applyFont="1" applyFill="1" applyBorder="1" applyAlignment="1">
      <alignment vertical="top"/>
    </xf>
    <xf numFmtId="8" fontId="0" fillId="0" borderId="0" xfId="0" applyNumberFormat="1"/>
    <xf numFmtId="0" fontId="0" fillId="0" borderId="15" xfId="0" applyFont="1" applyFill="1" applyBorder="1"/>
    <xf numFmtId="0" fontId="0" fillId="0" borderId="0" xfId="0" applyFont="1" applyFill="1"/>
    <xf numFmtId="0" fontId="27" fillId="0" borderId="0" xfId="0" applyFont="1" applyFill="1" applyBorder="1" applyAlignment="1"/>
    <xf numFmtId="0" fontId="0" fillId="0" borderId="0" xfId="0" applyFill="1" applyBorder="1"/>
    <xf numFmtId="0" fontId="0" fillId="0" borderId="0" xfId="0" applyFont="1" applyFill="1" applyBorder="1"/>
    <xf numFmtId="44" fontId="25" fillId="0" borderId="0" xfId="28" applyNumberFormat="1" applyFont="1" applyFill="1" applyBorder="1" applyAlignment="1">
      <alignment vertical="top"/>
    </xf>
    <xf numFmtId="0" fontId="0" fillId="0" borderId="21" xfId="0" applyFill="1" applyBorder="1"/>
    <xf numFmtId="0" fontId="0" fillId="0" borderId="15" xfId="0" applyBorder="1"/>
    <xf numFmtId="0" fontId="0" fillId="0" borderId="0" xfId="0" applyBorder="1"/>
    <xf numFmtId="0" fontId="0" fillId="0" borderId="11" xfId="0" applyFont="1" applyFill="1" applyBorder="1" applyAlignment="1"/>
    <xf numFmtId="0" fontId="0" fillId="0" borderId="0" xfId="0" applyFont="1" applyFill="1" applyBorder="1" applyAlignment="1"/>
    <xf numFmtId="0" fontId="0" fillId="0" borderId="15" xfId="0" applyFont="1" applyFill="1" applyBorder="1" applyAlignment="1"/>
    <xf numFmtId="0" fontId="28" fillId="0" borderId="15" xfId="0" applyFont="1" applyBorder="1" applyAlignment="1">
      <alignment horizontal="justify" vertical="top" wrapText="1"/>
    </xf>
    <xf numFmtId="0" fontId="26" fillId="0" borderId="0" xfId="0" applyFont="1" applyBorder="1" applyAlignment="1">
      <alignment horizontal="right" vertical="center"/>
    </xf>
    <xf numFmtId="0" fontId="0" fillId="0" borderId="16" xfId="0" applyFont="1" applyBorder="1"/>
    <xf numFmtId="0" fontId="0" fillId="0" borderId="17" xfId="0" applyFont="1" applyBorder="1"/>
    <xf numFmtId="0" fontId="0" fillId="0" borderId="21" xfId="0" applyFont="1" applyBorder="1"/>
    <xf numFmtId="0" fontId="0" fillId="33" borderId="18" xfId="0" applyFont="1" applyFill="1" applyBorder="1" applyAlignment="1"/>
    <xf numFmtId="0" fontId="0" fillId="33" borderId="19" xfId="0" applyFont="1" applyFill="1" applyBorder="1" applyAlignment="1"/>
    <xf numFmtId="0" fontId="0" fillId="33" borderId="20" xfId="0" applyFont="1" applyFill="1" applyBorder="1" applyAlignment="1"/>
    <xf numFmtId="0" fontId="0" fillId="34" borderId="18" xfId="0" applyFont="1" applyFill="1" applyBorder="1" applyAlignment="1"/>
    <xf numFmtId="0" fontId="0" fillId="34" borderId="19" xfId="0" applyFont="1" applyFill="1" applyBorder="1" applyAlignment="1"/>
    <xf numFmtId="0" fontId="0" fillId="34" borderId="20" xfId="0" applyFont="1" applyFill="1" applyBorder="1" applyAlignment="1"/>
    <xf numFmtId="0" fontId="29" fillId="0" borderId="0" xfId="0" applyFont="1"/>
    <xf numFmtId="8" fontId="0" fillId="0" borderId="0" xfId="0" applyNumberFormat="1" applyFont="1"/>
    <xf numFmtId="8" fontId="0" fillId="0" borderId="22" xfId="0" applyNumberFormat="1" applyFont="1" applyBorder="1"/>
    <xf numFmtId="0" fontId="0" fillId="0" borderId="22" xfId="0" applyBorder="1"/>
    <xf numFmtId="8" fontId="0" fillId="0" borderId="22" xfId="0" applyNumberFormat="1" applyBorder="1"/>
    <xf numFmtId="8" fontId="29" fillId="0" borderId="22" xfId="0" applyNumberFormat="1" applyFont="1" applyBorder="1"/>
    <xf numFmtId="0" fontId="30" fillId="0" borderId="0" xfId="0" applyFont="1" applyAlignment="1">
      <alignment horizontal="center"/>
    </xf>
    <xf numFmtId="0" fontId="29" fillId="0" borderId="0" xfId="0" applyFont="1" applyAlignment="1">
      <alignment horizontal="left"/>
    </xf>
    <xf numFmtId="0" fontId="20" fillId="0" borderId="0" xfId="0" applyFont="1" applyBorder="1" applyAlignment="1">
      <alignment horizontal="center" vertical="center"/>
    </xf>
    <xf numFmtId="0" fontId="18" fillId="0" borderId="0" xfId="0" applyFont="1" applyBorder="1" applyAlignment="1">
      <alignment horizontal="center" vertical="center"/>
    </xf>
    <xf numFmtId="0" fontId="19" fillId="0" borderId="0" xfId="0" applyFont="1" applyBorder="1" applyAlignment="1">
      <alignment horizontal="center"/>
    </xf>
    <xf numFmtId="0" fontId="0" fillId="0" borderId="0" xfId="0" quotePrefix="1"/>
    <xf numFmtId="0" fontId="31" fillId="0" borderId="0" xfId="0" applyFont="1"/>
    <xf numFmtId="0" fontId="0" fillId="0" borderId="23" xfId="0" applyFont="1" applyBorder="1"/>
    <xf numFmtId="8" fontId="0" fillId="0" borderId="23" xfId="0" applyNumberFormat="1" applyFont="1" applyBorder="1"/>
    <xf numFmtId="0" fontId="0" fillId="0" borderId="23" xfId="0" applyBorder="1"/>
    <xf numFmtId="0" fontId="0" fillId="0" borderId="0" xfId="0" applyAlignment="1">
      <alignment horizontal="center"/>
    </xf>
    <xf numFmtId="0" fontId="0" fillId="0" borderId="0" xfId="0" applyNumberFormat="1"/>
    <xf numFmtId="9" fontId="0" fillId="0" borderId="0" xfId="0" applyNumberFormat="1"/>
    <xf numFmtId="0" fontId="0" fillId="0" borderId="0" xfId="0" applyAlignment="1">
      <alignment horizontal="left"/>
    </xf>
    <xf numFmtId="49" fontId="34" fillId="0" borderId="26" xfId="0" applyNumberFormat="1" applyFont="1" applyBorder="1" applyAlignment="1">
      <alignment horizontal="center"/>
    </xf>
    <xf numFmtId="49" fontId="35" fillId="0" borderId="0" xfId="0" applyNumberFormat="1" applyFont="1"/>
    <xf numFmtId="166" fontId="35" fillId="0" borderId="0" xfId="0" applyNumberFormat="1" applyFont="1"/>
    <xf numFmtId="3" fontId="0" fillId="0" borderId="0" xfId="0" applyNumberFormat="1"/>
    <xf numFmtId="49" fontId="34" fillId="0" borderId="0" xfId="0" applyNumberFormat="1" applyFont="1" applyAlignment="1">
      <alignment horizontal="center"/>
    </xf>
    <xf numFmtId="49" fontId="34" fillId="0" borderId="0" xfId="0" applyNumberFormat="1" applyFont="1"/>
    <xf numFmtId="0" fontId="34" fillId="0" borderId="0" xfId="0" applyFont="1"/>
    <xf numFmtId="0" fontId="34" fillId="0" borderId="0" xfId="0" applyNumberFormat="1" applyFont="1"/>
    <xf numFmtId="0" fontId="31" fillId="36" borderId="0" xfId="0" applyFont="1" applyFill="1"/>
    <xf numFmtId="0" fontId="32" fillId="36" borderId="0" xfId="0" applyFont="1" applyFill="1"/>
    <xf numFmtId="8" fontId="0" fillId="36" borderId="0" xfId="0" applyNumberFormat="1" applyFill="1"/>
    <xf numFmtId="0" fontId="0" fillId="36" borderId="0" xfId="0" applyFont="1" applyFill="1"/>
    <xf numFmtId="8" fontId="0" fillId="36" borderId="0" xfId="0" applyNumberFormat="1" applyFont="1" applyFill="1"/>
    <xf numFmtId="0" fontId="0" fillId="36" borderId="0" xfId="0" applyFont="1" applyFill="1" applyBorder="1"/>
    <xf numFmtId="8" fontId="0" fillId="36" borderId="24" xfId="0" applyNumberFormat="1" applyFont="1" applyFill="1" applyBorder="1"/>
    <xf numFmtId="0" fontId="0" fillId="36" borderId="24" xfId="0" applyFill="1" applyBorder="1"/>
    <xf numFmtId="8" fontId="0" fillId="36" borderId="22" xfId="0" applyNumberFormat="1" applyFont="1" applyFill="1" applyBorder="1"/>
    <xf numFmtId="0" fontId="0" fillId="36" borderId="22" xfId="0" applyFill="1" applyBorder="1"/>
    <xf numFmtId="0" fontId="0" fillId="36" borderId="0" xfId="0" applyFill="1"/>
    <xf numFmtId="0" fontId="0" fillId="36" borderId="0" xfId="0" applyFill="1" applyAlignment="1">
      <alignment horizontal="center"/>
    </xf>
    <xf numFmtId="0" fontId="0" fillId="36" borderId="25" xfId="0" applyFill="1" applyBorder="1" applyAlignment="1">
      <alignment horizontal="center"/>
    </xf>
    <xf numFmtId="0" fontId="0" fillId="36" borderId="25" xfId="0" applyFill="1" applyBorder="1" applyAlignment="1">
      <alignment horizontal="center" wrapText="1"/>
    </xf>
    <xf numFmtId="8" fontId="0" fillId="36" borderId="25" xfId="0" applyNumberFormat="1" applyFill="1" applyBorder="1" applyAlignment="1">
      <alignment horizontal="center"/>
    </xf>
    <xf numFmtId="0" fontId="0" fillId="36" borderId="25" xfId="0" applyFill="1" applyBorder="1"/>
    <xf numFmtId="8" fontId="0" fillId="36" borderId="25" xfId="0" applyNumberFormat="1" applyFill="1" applyBorder="1"/>
    <xf numFmtId="0" fontId="33" fillId="36" borderId="0" xfId="0" applyFont="1" applyFill="1"/>
    <xf numFmtId="8" fontId="33" fillId="36" borderId="0" xfId="0" applyNumberFormat="1" applyFont="1" applyFill="1"/>
    <xf numFmtId="0" fontId="0" fillId="36" borderId="0" xfId="0" applyNumberFormat="1" applyFill="1"/>
    <xf numFmtId="167" fontId="35" fillId="0" borderId="0" xfId="0" applyNumberFormat="1" applyFont="1"/>
    <xf numFmtId="168" fontId="35" fillId="0" borderId="0" xfId="0" applyNumberFormat="1" applyFont="1"/>
    <xf numFmtId="168" fontId="35" fillId="0" borderId="0" xfId="0" applyNumberFormat="1" applyFont="1" applyBorder="1"/>
    <xf numFmtId="168" fontId="35" fillId="0" borderId="17" xfId="0" applyNumberFormat="1" applyFont="1" applyBorder="1"/>
    <xf numFmtId="168" fontId="34" fillId="0" borderId="27" xfId="0" applyNumberFormat="1" applyFont="1" applyBorder="1"/>
    <xf numFmtId="164" fontId="26" fillId="0" borderId="1" xfId="0" applyNumberFormat="1" applyFont="1" applyBorder="1" applyAlignment="1">
      <alignment horizontal="center" vertical="top"/>
    </xf>
    <xf numFmtId="0" fontId="0" fillId="33" borderId="18" xfId="0" applyFont="1" applyFill="1" applyBorder="1" applyAlignment="1">
      <alignment horizontal="right"/>
    </xf>
    <xf numFmtId="0" fontId="0" fillId="33" borderId="19" xfId="0" applyFont="1" applyFill="1" applyBorder="1" applyAlignment="1">
      <alignment horizontal="right"/>
    </xf>
    <xf numFmtId="0" fontId="0" fillId="33" borderId="20" xfId="0" applyFont="1" applyFill="1" applyBorder="1" applyAlignment="1">
      <alignment horizontal="right"/>
    </xf>
    <xf numFmtId="0" fontId="22" fillId="0" borderId="18" xfId="0" applyFont="1" applyBorder="1" applyAlignment="1">
      <alignment horizontal="left"/>
    </xf>
    <xf numFmtId="0" fontId="22" fillId="0" borderId="19" xfId="0" applyFont="1" applyBorder="1" applyAlignment="1">
      <alignment horizontal="left"/>
    </xf>
    <xf numFmtId="164" fontId="22" fillId="0" borderId="19" xfId="0" applyNumberFormat="1" applyFont="1" applyBorder="1" applyAlignment="1">
      <alignment horizontal="right"/>
    </xf>
    <xf numFmtId="164" fontId="22" fillId="0" borderId="20" xfId="0" applyNumberFormat="1" applyFont="1" applyBorder="1" applyAlignment="1">
      <alignment horizontal="right"/>
    </xf>
    <xf numFmtId="0" fontId="0" fillId="34" borderId="18" xfId="0" applyFont="1" applyFill="1" applyBorder="1" applyAlignment="1"/>
    <xf numFmtId="0" fontId="0" fillId="34" borderId="19" xfId="0" applyFont="1" applyFill="1" applyBorder="1" applyAlignment="1"/>
    <xf numFmtId="0" fontId="0" fillId="34" borderId="20" xfId="0" applyFont="1" applyFill="1" applyBorder="1" applyAlignment="1"/>
    <xf numFmtId="0" fontId="28" fillId="0" borderId="0" xfId="0" applyFont="1" applyBorder="1" applyAlignment="1">
      <alignment horizontal="justify" vertical="top"/>
    </xf>
    <xf numFmtId="0" fontId="26" fillId="0" borderId="1" xfId="0" applyFont="1" applyBorder="1" applyAlignment="1">
      <alignment horizontal="left"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5</xdr:col>
      <xdr:colOff>1381125</xdr:colOff>
      <xdr:row>1</xdr:row>
      <xdr:rowOff>114300</xdr:rowOff>
    </xdr:from>
    <xdr:to>
      <xdr:col>7</xdr:col>
      <xdr:colOff>727773</xdr:colOff>
      <xdr:row>2</xdr:row>
      <xdr:rowOff>273812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7800" y="314325"/>
          <a:ext cx="2385123" cy="6643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120650</xdr:colOff>
      <xdr:row>1</xdr:row>
      <xdr:rowOff>34925</xdr:rowOff>
    </xdr:to>
    <xdr:sp macro="" textlink="">
      <xdr:nvSpPr>
        <xdr:cNvPr id="2" name="FILTER" hidden="1">
          <a:extLst>
            <a:ext uri="{63B3BB69-23CF-44E3-9099-C40C66FF867C}">
              <a14:compatExt xmlns:a14="http://schemas.microsoft.com/office/drawing/2010/main" spid="_x0000_s1025"/>
            </a:ext>
            <a:ext uri="{FF2B5EF4-FFF2-40B4-BE49-F238E27FC236}">
              <a16:creationId xmlns:a16="http://schemas.microsoft.com/office/drawing/2014/main" id="{21498588-C93D-4D4C-840B-352A4E77419D}"/>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xdr:col>
      <xdr:colOff>120650</xdr:colOff>
      <xdr:row>1</xdr:row>
      <xdr:rowOff>34925</xdr:rowOff>
    </xdr:to>
    <xdr:sp macro="" textlink="">
      <xdr:nvSpPr>
        <xdr:cNvPr id="3" name="HEADER" hidden="1">
          <a:extLst>
            <a:ext uri="{63B3BB69-23CF-44E3-9099-C40C66FF867C}">
              <a14:compatExt xmlns:a14="http://schemas.microsoft.com/office/drawing/2010/main" spid="_x0000_s1026"/>
            </a:ext>
            <a:ext uri="{FF2B5EF4-FFF2-40B4-BE49-F238E27FC236}">
              <a16:creationId xmlns:a16="http://schemas.microsoft.com/office/drawing/2014/main" id="{7D80431A-7F14-4201-BA38-15C02F5C7CCD}"/>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xdr:col>
      <xdr:colOff>95250</xdr:colOff>
      <xdr:row>1</xdr:row>
      <xdr:rowOff>28575</xdr:rowOff>
    </xdr:to>
    <xdr:pic>
      <xdr:nvPicPr>
        <xdr:cNvPr id="4" name="FILTER" hidden="1">
          <a:extLst>
            <a:ext uri="{FF2B5EF4-FFF2-40B4-BE49-F238E27FC236}">
              <a16:creationId xmlns:a16="http://schemas.microsoft.com/office/drawing/2014/main" id="{717A8962-5E4A-497E-A873-436716B63889}"/>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858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95250</xdr:colOff>
      <xdr:row>1</xdr:row>
      <xdr:rowOff>28575</xdr:rowOff>
    </xdr:to>
    <xdr:pic>
      <xdr:nvPicPr>
        <xdr:cNvPr id="5" name="HEADER" hidden="1">
          <a:extLst>
            <a:ext uri="{FF2B5EF4-FFF2-40B4-BE49-F238E27FC236}">
              <a16:creationId xmlns:a16="http://schemas.microsoft.com/office/drawing/2014/main" id="{19611B4A-76FB-4B2C-B42D-466FCB5F395F}"/>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8858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561975</xdr:colOff>
          <xdr:row>4</xdr:row>
          <xdr:rowOff>9524</xdr:rowOff>
        </xdr:from>
        <xdr:to>
          <xdr:col>14</xdr:col>
          <xdr:colOff>0</xdr:colOff>
          <xdr:row>6</xdr:row>
          <xdr:rowOff>57149</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603C0B0D-59DB-48CB-B57A-02B3B85A0A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911225</xdr:colOff>
      <xdr:row>1</xdr:row>
      <xdr:rowOff>25400</xdr:rowOff>
    </xdr:to>
    <xdr:sp macro="" textlink="">
      <xdr:nvSpPr>
        <xdr:cNvPr id="2" name="FILTER" hidden="1">
          <a:extLst>
            <a:ext uri="{63B3BB69-23CF-44E3-9099-C40C66FF867C}">
              <a14:compatExt xmlns:a14="http://schemas.microsoft.com/office/drawing/2010/main" spid="_x0000_s1025"/>
            </a:ext>
            <a:ext uri="{FF2B5EF4-FFF2-40B4-BE49-F238E27FC236}">
              <a16:creationId xmlns:a16="http://schemas.microsoft.com/office/drawing/2014/main" id="{2C414774-D971-421F-B784-E114A0EE6BAA}"/>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0</xdr:col>
      <xdr:colOff>911225</xdr:colOff>
      <xdr:row>1</xdr:row>
      <xdr:rowOff>25400</xdr:rowOff>
    </xdr:to>
    <xdr:sp macro="" textlink="">
      <xdr:nvSpPr>
        <xdr:cNvPr id="3" name="HEADER" hidden="1">
          <a:extLst>
            <a:ext uri="{63B3BB69-23CF-44E3-9099-C40C66FF867C}">
              <a14:compatExt xmlns:a14="http://schemas.microsoft.com/office/drawing/2010/main" spid="_x0000_s1026"/>
            </a:ext>
            <a:ext uri="{FF2B5EF4-FFF2-40B4-BE49-F238E27FC236}">
              <a16:creationId xmlns:a16="http://schemas.microsoft.com/office/drawing/2014/main" id="{AEB4FCB1-96A2-4211-878F-6DBA19FA466C}"/>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0</xdr:col>
      <xdr:colOff>733425</xdr:colOff>
      <xdr:row>1</xdr:row>
      <xdr:rowOff>19050</xdr:rowOff>
    </xdr:to>
    <xdr:pic>
      <xdr:nvPicPr>
        <xdr:cNvPr id="4" name="FILTER" hidden="1">
          <a:extLst>
            <a:ext uri="{FF2B5EF4-FFF2-40B4-BE49-F238E27FC236}">
              <a16:creationId xmlns:a16="http://schemas.microsoft.com/office/drawing/2014/main" id="{A8728336-8820-4738-9E8D-650563EF22D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34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733425</xdr:colOff>
      <xdr:row>1</xdr:row>
      <xdr:rowOff>19050</xdr:rowOff>
    </xdr:to>
    <xdr:pic>
      <xdr:nvPicPr>
        <xdr:cNvPr id="5" name="HEADER" hidden="1">
          <a:extLst>
            <a:ext uri="{FF2B5EF4-FFF2-40B4-BE49-F238E27FC236}">
              <a16:creationId xmlns:a16="http://schemas.microsoft.com/office/drawing/2014/main" id="{E437FE81-7B27-4E3A-AB52-29BC50C1E63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7334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911225</xdr:colOff>
      <xdr:row>1</xdr:row>
      <xdr:rowOff>25400</xdr:rowOff>
    </xdr:to>
    <xdr:sp macro="" textlink="">
      <xdr:nvSpPr>
        <xdr:cNvPr id="6" name="FILTER" hidden="1">
          <a:extLst>
            <a:ext uri="{63B3BB69-23CF-44E3-9099-C40C66FF867C}">
              <a14:compatExt xmlns:a14="http://schemas.microsoft.com/office/drawing/2010/main" spid="_x0000_s1025"/>
            </a:ext>
            <a:ext uri="{FF2B5EF4-FFF2-40B4-BE49-F238E27FC236}">
              <a16:creationId xmlns:a16="http://schemas.microsoft.com/office/drawing/2014/main" id="{00A11D10-3D7D-4F98-9026-959BA7FF6E9C}"/>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0</xdr:col>
      <xdr:colOff>911225</xdr:colOff>
      <xdr:row>1</xdr:row>
      <xdr:rowOff>25400</xdr:rowOff>
    </xdr:to>
    <xdr:sp macro="" textlink="">
      <xdr:nvSpPr>
        <xdr:cNvPr id="7" name="HEADER" hidden="1">
          <a:extLst>
            <a:ext uri="{63B3BB69-23CF-44E3-9099-C40C66FF867C}">
              <a14:compatExt xmlns:a14="http://schemas.microsoft.com/office/drawing/2010/main" spid="_x0000_s1026"/>
            </a:ext>
            <a:ext uri="{FF2B5EF4-FFF2-40B4-BE49-F238E27FC236}">
              <a16:creationId xmlns:a16="http://schemas.microsoft.com/office/drawing/2014/main" id="{20F939C1-14D2-4966-8252-EF95A2A46CBF}"/>
            </a:ext>
          </a:extLst>
        </xdr:cNvPr>
        <xdr:cNvSpPr/>
      </xdr:nvSpPr>
      <xdr:spPr bwMode="auto">
        <a:xfrm>
          <a:off x="0" y="0"/>
          <a:ext cx="911225" cy="2254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0</xdr:col>
      <xdr:colOff>733425</xdr:colOff>
      <xdr:row>1</xdr:row>
      <xdr:rowOff>19050</xdr:rowOff>
    </xdr:to>
    <xdr:pic>
      <xdr:nvPicPr>
        <xdr:cNvPr id="8" name="FILTER" hidden="1">
          <a:extLst>
            <a:ext uri="{FF2B5EF4-FFF2-40B4-BE49-F238E27FC236}">
              <a16:creationId xmlns:a16="http://schemas.microsoft.com/office/drawing/2014/main" id="{EB0F234B-5140-4510-917E-B996169DA2A9}"/>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7334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733425</xdr:colOff>
      <xdr:row>1</xdr:row>
      <xdr:rowOff>19050</xdr:rowOff>
    </xdr:to>
    <xdr:pic>
      <xdr:nvPicPr>
        <xdr:cNvPr id="9" name="HEADER" hidden="1">
          <a:extLst>
            <a:ext uri="{FF2B5EF4-FFF2-40B4-BE49-F238E27FC236}">
              <a16:creationId xmlns:a16="http://schemas.microsoft.com/office/drawing/2014/main" id="{D584DED3-7B9B-4AAE-83A2-568F7A7D102C}"/>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733425" cy="2190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495300</xdr:colOff>
          <xdr:row>6</xdr:row>
          <xdr:rowOff>161925</xdr:rowOff>
        </xdr:from>
        <xdr:to>
          <xdr:col>12</xdr:col>
          <xdr:colOff>257175</xdr:colOff>
          <xdr:row>9</xdr:row>
          <xdr:rowOff>38100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A429266C-7368-432B-BF2B-5C8532B65B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T50"/>
  <sheetViews>
    <sheetView showGridLines="0" workbookViewId="0"/>
  </sheetViews>
  <sheetFormatPr defaultColWidth="8.85546875" defaultRowHeight="15"/>
  <cols>
    <col min="1" max="1" width="1.7109375" style="2" customWidth="1"/>
    <col min="2" max="2" width="2.7109375" style="2" customWidth="1"/>
    <col min="3" max="3" width="28.7109375" style="2" bestFit="1" customWidth="1"/>
    <col min="4" max="4" width="17.28515625" style="2" customWidth="1"/>
    <col min="5" max="5" width="7.7109375" style="2" customWidth="1"/>
    <col min="6" max="6" width="31.42578125" style="2" bestFit="1" customWidth="1"/>
    <col min="7" max="7" width="14.140625" style="2" customWidth="1"/>
    <col min="8" max="8" width="11.85546875" style="2" bestFit="1" customWidth="1"/>
    <col min="9" max="9" width="2.7109375" style="2" customWidth="1"/>
    <col min="11" max="12" width="11.85546875" bestFit="1" customWidth="1"/>
    <col min="15" max="237" width="8.85546875" style="2"/>
    <col min="238" max="238" width="2.7109375" style="2" customWidth="1"/>
    <col min="239" max="239" width="22.28515625" style="2" customWidth="1"/>
    <col min="240" max="240" width="21.28515625" style="2" customWidth="1"/>
    <col min="241" max="241" width="11.7109375" style="2" bestFit="1" customWidth="1"/>
    <col min="242" max="242" width="10.140625" style="2" bestFit="1" customWidth="1"/>
    <col min="243" max="243" width="12.140625" style="2" customWidth="1"/>
    <col min="244" max="244" width="12.140625" style="2" bestFit="1" customWidth="1"/>
    <col min="245" max="254" width="8.85546875" style="2"/>
  </cols>
  <sheetData>
    <row r="1" spans="1:254" ht="15.75" thickBot="1">
      <c r="C1" s="3"/>
      <c r="D1" s="3"/>
      <c r="E1" s="3"/>
      <c r="I1" s="3"/>
      <c r="K1" s="2"/>
      <c r="L1" s="2"/>
      <c r="M1" s="2"/>
      <c r="N1" s="2"/>
    </row>
    <row r="2" spans="1:254" ht="39.75">
      <c r="B2" s="4"/>
      <c r="C2" s="5"/>
      <c r="D2" s="5"/>
      <c r="E2" s="5"/>
      <c r="F2" s="6"/>
      <c r="G2" s="6"/>
      <c r="H2" s="6"/>
      <c r="I2" s="7"/>
      <c r="K2" s="2"/>
      <c r="L2" s="2"/>
      <c r="M2" s="2"/>
      <c r="N2" s="2"/>
    </row>
    <row r="3" spans="1:254" ht="40.5" thickBot="1">
      <c r="B3" s="8"/>
      <c r="C3" s="54"/>
      <c r="D3" s="53" t="s">
        <v>0</v>
      </c>
      <c r="E3" s="54"/>
      <c r="F3" s="55"/>
      <c r="G3" s="9"/>
      <c r="H3" s="9"/>
      <c r="I3" s="10"/>
      <c r="K3" s="2"/>
      <c r="L3" s="2"/>
      <c r="M3" s="2"/>
      <c r="N3" s="2"/>
    </row>
    <row r="4" spans="1:254" ht="15.75" thickBot="1">
      <c r="B4" s="99"/>
      <c r="C4" s="100"/>
      <c r="D4" s="100"/>
      <c r="E4" s="100"/>
      <c r="F4" s="100"/>
      <c r="G4" s="100"/>
      <c r="H4" s="100"/>
      <c r="I4" s="101"/>
      <c r="K4" s="2"/>
      <c r="L4" s="2"/>
      <c r="M4" s="2"/>
      <c r="N4" s="2"/>
    </row>
    <row r="5" spans="1:254" ht="19.5" thickBot="1">
      <c r="A5" s="11"/>
      <c r="B5" s="102" t="s">
        <v>51</v>
      </c>
      <c r="C5" s="103"/>
      <c r="D5" s="103"/>
      <c r="E5" s="12"/>
      <c r="F5" s="13"/>
      <c r="G5" s="104">
        <v>42913</v>
      </c>
      <c r="H5" s="104"/>
      <c r="I5" s="105"/>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row>
    <row r="6" spans="1:254" ht="15.75" thickBot="1">
      <c r="B6" s="99"/>
      <c r="C6" s="100"/>
      <c r="D6" s="100"/>
      <c r="E6" s="100"/>
      <c r="F6" s="100"/>
      <c r="G6" s="100"/>
      <c r="H6" s="100"/>
      <c r="I6" s="101"/>
      <c r="K6" s="2"/>
      <c r="L6" s="2"/>
      <c r="M6" s="2"/>
      <c r="N6" s="2"/>
    </row>
    <row r="7" spans="1:254">
      <c r="B7" s="14"/>
      <c r="C7" s="3"/>
      <c r="D7" s="3"/>
      <c r="E7"/>
      <c r="F7" s="3"/>
      <c r="G7" s="3"/>
      <c r="H7" s="3"/>
      <c r="I7" s="15"/>
      <c r="K7" s="2"/>
      <c r="L7" s="2"/>
      <c r="M7" s="2"/>
      <c r="N7" s="2"/>
    </row>
    <row r="8" spans="1:254">
      <c r="B8" s="14"/>
      <c r="C8" s="16"/>
      <c r="D8" s="16"/>
      <c r="E8" s="16"/>
      <c r="F8" s="17"/>
      <c r="G8" s="17"/>
      <c r="H8" s="17"/>
      <c r="I8" s="18"/>
      <c r="J8" s="2"/>
      <c r="K8" s="2"/>
      <c r="L8" s="2"/>
      <c r="M8" s="2"/>
      <c r="N8" s="2"/>
    </row>
    <row r="9" spans="1:254" ht="17.25">
      <c r="B9" s="14"/>
      <c r="D9" s="51"/>
      <c r="E9" s="51"/>
      <c r="I9" s="18"/>
      <c r="J9" s="2"/>
      <c r="K9" s="2"/>
      <c r="L9" s="2"/>
      <c r="M9" s="2"/>
      <c r="N9" s="2"/>
    </row>
    <row r="10" spans="1:254">
      <c r="B10" s="14"/>
      <c r="C10" s="52" t="s">
        <v>11</v>
      </c>
      <c r="D10" s="1" t="s">
        <v>1</v>
      </c>
      <c r="F10" s="1" t="s">
        <v>13</v>
      </c>
      <c r="H10"/>
      <c r="I10" s="18"/>
      <c r="J10" s="2"/>
      <c r="K10" s="45"/>
      <c r="M10" s="2"/>
      <c r="N10" s="2"/>
    </row>
    <row r="11" spans="1:254">
      <c r="B11" s="14"/>
      <c r="C11" s="56" t="s">
        <v>28</v>
      </c>
      <c r="D11" s="21">
        <f>+'AR aging'!B23</f>
        <v>180257.36000000002</v>
      </c>
      <c r="F11" s="2" t="s">
        <v>15</v>
      </c>
      <c r="G11" s="46">
        <f>+D15</f>
        <v>234013.06000000003</v>
      </c>
      <c r="H11"/>
      <c r="I11" s="18"/>
      <c r="J11" s="2"/>
      <c r="K11" s="2"/>
      <c r="L11" s="21"/>
      <c r="M11" s="2"/>
      <c r="N11" s="2"/>
    </row>
    <row r="12" spans="1:254">
      <c r="B12" s="14"/>
      <c r="C12" t="s">
        <v>9</v>
      </c>
      <c r="D12" s="21">
        <f>+'AR aging'!C23</f>
        <v>35889.54</v>
      </c>
      <c r="F12" s="2" t="s">
        <v>16</v>
      </c>
      <c r="H12" s="46">
        <f>SUM(D18:D19)</f>
        <v>7217.8000000000011</v>
      </c>
      <c r="I12" s="18"/>
      <c r="J12" s="2"/>
      <c r="K12" s="2"/>
      <c r="L12" s="21"/>
      <c r="M12" s="2"/>
      <c r="N12" s="2"/>
    </row>
    <row r="13" spans="1:254">
      <c r="B13" s="14"/>
      <c r="C13" t="s">
        <v>10</v>
      </c>
      <c r="D13" s="21">
        <f>+'AR aging'!D23</f>
        <v>10980.68</v>
      </c>
      <c r="F13" s="2" t="s">
        <v>3</v>
      </c>
      <c r="G13" s="47">
        <f>+G11-H12</f>
        <v>226795.26000000004</v>
      </c>
      <c r="H13" s="48"/>
      <c r="I13" s="18"/>
      <c r="J13" s="2"/>
      <c r="K13" s="2"/>
      <c r="L13" s="21"/>
      <c r="M13" s="2"/>
      <c r="N13" s="2"/>
    </row>
    <row r="14" spans="1:254">
      <c r="B14" s="14"/>
      <c r="C14" t="s">
        <v>22</v>
      </c>
      <c r="D14" s="21">
        <f>+'AR aging'!E23</f>
        <v>6885.4800000000014</v>
      </c>
      <c r="F14" s="58" t="s">
        <v>217</v>
      </c>
      <c r="G14" s="59">
        <f>+G13*0.825</f>
        <v>187106.08950000003</v>
      </c>
      <c r="H14" s="60"/>
      <c r="I14" s="18"/>
      <c r="J14" s="2"/>
      <c r="K14" s="2"/>
      <c r="L14" s="21"/>
      <c r="M14" s="2"/>
      <c r="N14" s="2"/>
    </row>
    <row r="15" spans="1:254">
      <c r="B15" s="14"/>
      <c r="C15"/>
      <c r="D15" s="21">
        <f>SUM(D11:D14)</f>
        <v>234013.06000000003</v>
      </c>
      <c r="F15" s="78" t="s">
        <v>31</v>
      </c>
      <c r="G15" s="79">
        <f>+D22</f>
        <v>0</v>
      </c>
      <c r="H15" s="80"/>
      <c r="I15" s="18"/>
      <c r="J15" s="2"/>
      <c r="K15" s="2"/>
      <c r="L15" s="21"/>
      <c r="M15" s="2"/>
      <c r="N15" s="2"/>
    </row>
    <row r="16" spans="1:254">
      <c r="B16" s="14"/>
      <c r="C16" s="19"/>
      <c r="F16" s="76" t="s">
        <v>32</v>
      </c>
      <c r="G16" s="76"/>
      <c r="H16" s="77">
        <f>+D24</f>
        <v>0</v>
      </c>
      <c r="I16" s="18"/>
      <c r="J16" s="2"/>
      <c r="K16" s="2"/>
      <c r="L16" s="21"/>
      <c r="M16" s="2"/>
      <c r="N16" s="2"/>
    </row>
    <row r="17" spans="2:14">
      <c r="B17" s="14"/>
      <c r="C17" s="57" t="s">
        <v>38</v>
      </c>
      <c r="F17" s="76" t="s">
        <v>33</v>
      </c>
      <c r="G17" s="81">
        <f>+G15-H16</f>
        <v>0</v>
      </c>
      <c r="H17" s="82"/>
      <c r="I17" s="18"/>
      <c r="J17" s="2"/>
      <c r="K17" s="2"/>
      <c r="L17" s="2"/>
      <c r="M17" s="2"/>
      <c r="N17" s="2"/>
    </row>
    <row r="18" spans="2:14">
      <c r="B18" s="14"/>
      <c r="C18" s="26" t="s">
        <v>37</v>
      </c>
      <c r="D18" s="46">
        <f>+SUM('AR aging'!J2:J22)</f>
        <v>7217.8000000000011</v>
      </c>
      <c r="F18" s="76" t="s">
        <v>107</v>
      </c>
      <c r="G18" s="77">
        <f>+G17*0</f>
        <v>0</v>
      </c>
      <c r="H18" s="83"/>
      <c r="I18" s="22"/>
      <c r="J18" s="2"/>
      <c r="K18" s="2"/>
      <c r="L18" s="2"/>
      <c r="M18" s="2"/>
      <c r="N18" s="2"/>
    </row>
    <row r="19" spans="2:14">
      <c r="B19" s="14"/>
      <c r="C19" s="2" t="s">
        <v>39</v>
      </c>
      <c r="D19" s="46">
        <v>0</v>
      </c>
      <c r="F19" s="76" t="s">
        <v>36</v>
      </c>
      <c r="G19" s="77">
        <v>0</v>
      </c>
      <c r="H19" s="76"/>
      <c r="I19" s="22"/>
      <c r="J19" s="2"/>
      <c r="K19" s="2"/>
      <c r="L19" s="2"/>
      <c r="M19" s="2"/>
      <c r="N19" s="2"/>
    </row>
    <row r="20" spans="2:14">
      <c r="B20" s="14"/>
      <c r="F20" s="76" t="s">
        <v>35</v>
      </c>
      <c r="G20" s="77">
        <f>+G19*0.75</f>
        <v>0</v>
      </c>
      <c r="H20" s="76"/>
      <c r="I20" s="22"/>
      <c r="J20" s="2"/>
      <c r="K20" s="46"/>
      <c r="L20" s="2"/>
      <c r="M20" s="2"/>
      <c r="N20" s="2"/>
    </row>
    <row r="21" spans="2:14">
      <c r="B21" s="14"/>
      <c r="C21" s="73" t="s">
        <v>29</v>
      </c>
      <c r="D21" s="73"/>
      <c r="F21" s="76" t="s">
        <v>42</v>
      </c>
      <c r="G21" s="77">
        <f>+IF(G20&gt;G18,G18,0)</f>
        <v>0</v>
      </c>
      <c r="H21" s="76"/>
      <c r="I21" s="22"/>
      <c r="J21" s="2"/>
      <c r="K21" s="2"/>
      <c r="L21" s="2"/>
      <c r="M21" s="2"/>
      <c r="N21" s="2"/>
    </row>
    <row r="22" spans="2:14">
      <c r="B22" s="14"/>
      <c r="C22" s="74" t="s">
        <v>30</v>
      </c>
      <c r="D22" s="75">
        <f>+'Inventory Listing'!G115</f>
        <v>0</v>
      </c>
      <c r="F22" s="76" t="s">
        <v>40</v>
      </c>
      <c r="G22" s="77">
        <f>+IF((G21)&gt;(G14*0.75),(G14*0.75),0)</f>
        <v>0</v>
      </c>
      <c r="H22" s="76"/>
      <c r="I22" s="22"/>
      <c r="J22" s="2"/>
      <c r="K22" s="46"/>
      <c r="L22" s="2"/>
      <c r="M22" s="2"/>
      <c r="N22" s="2"/>
    </row>
    <row r="23" spans="2:14">
      <c r="B23" s="14"/>
      <c r="C23" s="74" t="s">
        <v>43</v>
      </c>
      <c r="D23" s="75">
        <f>+'Inventory Listing'!N5</f>
        <v>0</v>
      </c>
      <c r="F23" s="76" t="s">
        <v>41</v>
      </c>
      <c r="G23" s="77">
        <f>IF((G21)&lt;(G14*0.75),(G21),0)</f>
        <v>0</v>
      </c>
      <c r="H23" s="76"/>
      <c r="I23" s="22"/>
      <c r="J23" s="2"/>
      <c r="K23" s="2"/>
      <c r="L23" s="2"/>
      <c r="M23" s="2"/>
      <c r="N23" s="2"/>
    </row>
    <row r="24" spans="2:14">
      <c r="B24" s="14"/>
      <c r="C24" s="76" t="s">
        <v>44</v>
      </c>
      <c r="D24" s="77">
        <f>+'Inventory Listing'!S5</f>
        <v>0</v>
      </c>
      <c r="F24" s="2" t="s">
        <v>23</v>
      </c>
      <c r="H24" s="46">
        <f>+SUM(D28:D31)</f>
        <v>1750</v>
      </c>
      <c r="I24" s="22"/>
      <c r="J24" s="2"/>
      <c r="K24" s="2"/>
      <c r="L24" s="2"/>
      <c r="M24" s="2"/>
      <c r="N24" s="2"/>
    </row>
    <row r="25" spans="2:14">
      <c r="B25" s="14"/>
      <c r="F25" s="2" t="s">
        <v>27</v>
      </c>
      <c r="H25" s="46">
        <f>+D32</f>
        <v>25</v>
      </c>
      <c r="I25" s="22"/>
      <c r="J25" s="2"/>
      <c r="K25" s="2"/>
      <c r="L25" s="2"/>
      <c r="M25" s="2"/>
      <c r="N25" s="2"/>
    </row>
    <row r="26" spans="2:14">
      <c r="B26" s="14"/>
      <c r="F26" s="2" t="s">
        <v>14</v>
      </c>
      <c r="G26" s="49">
        <f>+G14+SUM(G22:G23)-SUM(G24:H25)</f>
        <v>185331.08950000003</v>
      </c>
      <c r="H26" s="48"/>
      <c r="I26" s="22"/>
      <c r="J26" s="2"/>
      <c r="K26" s="2"/>
      <c r="L26" s="2"/>
      <c r="M26" s="2"/>
      <c r="N26" s="2"/>
    </row>
    <row r="27" spans="2:14">
      <c r="B27" s="14"/>
      <c r="C27" s="45" t="s">
        <v>12</v>
      </c>
      <c r="D27"/>
      <c r="I27" s="18"/>
      <c r="J27" s="2"/>
      <c r="K27" s="2"/>
      <c r="L27" s="2"/>
      <c r="M27" s="2"/>
      <c r="N27" s="2"/>
    </row>
    <row r="28" spans="2:14">
      <c r="B28" s="14"/>
      <c r="C28" s="2" t="s">
        <v>23</v>
      </c>
      <c r="D28" s="21">
        <v>0</v>
      </c>
      <c r="F28" s="2" t="s">
        <v>4</v>
      </c>
      <c r="G28" s="46">
        <v>171443.63</v>
      </c>
      <c r="H28"/>
      <c r="I28" s="18"/>
      <c r="J28" s="2"/>
      <c r="K28" s="2"/>
      <c r="L28" s="2"/>
      <c r="M28" s="2"/>
      <c r="N28" s="2"/>
    </row>
    <row r="29" spans="2:14">
      <c r="B29" s="14"/>
      <c r="C29" s="2" t="s">
        <v>2</v>
      </c>
      <c r="D29" s="21">
        <v>0</v>
      </c>
      <c r="F29" s="2" t="s">
        <v>382</v>
      </c>
      <c r="G29" s="46">
        <v>91785</v>
      </c>
      <c r="I29" s="18"/>
      <c r="J29" s="2"/>
      <c r="K29" s="2"/>
      <c r="L29" s="2"/>
      <c r="M29" s="2"/>
      <c r="N29" s="2"/>
    </row>
    <row r="30" spans="2:14">
      <c r="B30" s="14"/>
      <c r="C30" s="2" t="s">
        <v>24</v>
      </c>
      <c r="D30" s="21">
        <v>0</v>
      </c>
      <c r="F30" s="2" t="s">
        <v>171</v>
      </c>
      <c r="G30" s="46">
        <v>0</v>
      </c>
      <c r="I30" s="18"/>
      <c r="J30" s="2"/>
      <c r="K30" s="2"/>
      <c r="L30" s="2"/>
      <c r="M30" s="2"/>
      <c r="N30" s="2"/>
    </row>
    <row r="31" spans="2:14">
      <c r="B31" s="14"/>
      <c r="C31" s="2" t="s">
        <v>25</v>
      </c>
      <c r="D31" s="21">
        <v>1750</v>
      </c>
      <c r="F31" s="2" t="s">
        <v>17</v>
      </c>
      <c r="H31" s="46">
        <v>0.05</v>
      </c>
      <c r="I31" s="18"/>
      <c r="J31" s="2"/>
      <c r="K31" s="2"/>
      <c r="L31" s="2"/>
      <c r="M31" s="2"/>
      <c r="N31" s="2"/>
    </row>
    <row r="32" spans="2:14">
      <c r="B32" s="14"/>
      <c r="C32" s="2" t="s">
        <v>26</v>
      </c>
      <c r="D32" s="21">
        <v>25</v>
      </c>
      <c r="F32" s="2" t="s">
        <v>18</v>
      </c>
      <c r="G32" s="47">
        <f>+G28-H31+G30+D28+G29+H24+H25</f>
        <v>265003.58</v>
      </c>
      <c r="H32" s="48"/>
      <c r="I32" s="18"/>
      <c r="J32" s="2"/>
      <c r="K32" s="2"/>
      <c r="L32" s="2"/>
      <c r="M32" s="2"/>
      <c r="N32" s="2"/>
    </row>
    <row r="33" spans="1:254">
      <c r="B33" s="14"/>
      <c r="F33" s="2" t="s">
        <v>19</v>
      </c>
      <c r="G33" s="21">
        <v>500000</v>
      </c>
      <c r="H33"/>
      <c r="I33" s="18"/>
      <c r="J33" s="2"/>
      <c r="K33" s="2"/>
      <c r="L33" s="2"/>
      <c r="M33" s="2"/>
      <c r="N33" s="2"/>
    </row>
    <row r="34" spans="1:254">
      <c r="B34" s="14"/>
      <c r="D34" s="21"/>
      <c r="F34" s="2" t="s">
        <v>20</v>
      </c>
      <c r="G34" s="46" t="s">
        <v>221</v>
      </c>
      <c r="H34"/>
      <c r="I34" s="18"/>
      <c r="J34" s="2"/>
      <c r="K34" s="2"/>
      <c r="L34" s="2"/>
      <c r="M34" s="2"/>
      <c r="N34" s="2"/>
    </row>
    <row r="35" spans="1:254">
      <c r="B35" s="3"/>
      <c r="D35" s="21"/>
      <c r="F35" s="45" t="s">
        <v>21</v>
      </c>
      <c r="G35" s="50">
        <f>IF(G26-G32&lt;G33,G26-G32+G29,0)</f>
        <v>12112.509500000015</v>
      </c>
      <c r="H35"/>
      <c r="I35" s="18"/>
      <c r="J35" s="2"/>
      <c r="K35" s="2"/>
      <c r="L35" s="2"/>
      <c r="M35" s="2"/>
      <c r="N35" s="2"/>
    </row>
    <row r="36" spans="1:254" ht="15.75" thickBot="1">
      <c r="A36" s="22"/>
      <c r="B36" s="24"/>
      <c r="C36" s="25"/>
      <c r="D36" s="26"/>
      <c r="E36" s="26"/>
      <c r="F36" s="26"/>
      <c r="G36" s="20"/>
      <c r="H36" s="27"/>
      <c r="I36" s="28"/>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3"/>
      <c r="EY36" s="23"/>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row>
    <row r="37" spans="1:254" ht="15.75" thickBot="1">
      <c r="A37" s="29"/>
      <c r="B37" s="99"/>
      <c r="C37" s="100"/>
      <c r="D37" s="100"/>
      <c r="E37" s="100"/>
      <c r="F37" s="100"/>
      <c r="G37" s="100"/>
      <c r="H37" s="100"/>
      <c r="I37" s="101"/>
      <c r="J37" s="2"/>
      <c r="K37" s="2"/>
      <c r="L37" s="2"/>
      <c r="M37" s="2"/>
      <c r="N37" s="2"/>
    </row>
    <row r="38" spans="1:254" ht="15.75" thickBot="1">
      <c r="A38" s="30"/>
      <c r="B38" s="106" t="s">
        <v>5</v>
      </c>
      <c r="C38" s="107"/>
      <c r="D38" s="107"/>
      <c r="E38" s="107"/>
      <c r="F38" s="107"/>
      <c r="G38" s="107"/>
      <c r="H38" s="107"/>
      <c r="I38" s="108"/>
      <c r="J38" s="2"/>
      <c r="K38" s="2"/>
      <c r="L38" s="2"/>
      <c r="M38" s="2"/>
      <c r="N38" s="2"/>
    </row>
    <row r="39" spans="1:254">
      <c r="A39" s="25"/>
      <c r="B39" s="31"/>
      <c r="C39" s="32"/>
      <c r="D39" s="32"/>
      <c r="E39" s="32"/>
      <c r="F39" s="32"/>
      <c r="G39" s="32"/>
      <c r="H39" s="32"/>
      <c r="I39" s="3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row>
    <row r="40" spans="1:254" ht="150" customHeight="1">
      <c r="B40" s="14"/>
      <c r="C40" s="109" t="s">
        <v>34</v>
      </c>
      <c r="D40" s="109"/>
      <c r="E40" s="109"/>
      <c r="F40" s="109"/>
      <c r="G40" s="109"/>
      <c r="H40" s="109"/>
      <c r="I40" s="34"/>
      <c r="J40" s="2"/>
      <c r="K40" s="2"/>
      <c r="L40" s="2"/>
      <c r="M40" s="2"/>
      <c r="N40" s="2"/>
    </row>
    <row r="41" spans="1:254">
      <c r="B41" s="14"/>
      <c r="C41" s="3"/>
      <c r="D41" s="3"/>
      <c r="E41" s="3"/>
      <c r="I41" s="18"/>
      <c r="K41" s="2"/>
      <c r="L41" s="2"/>
      <c r="M41" s="2"/>
      <c r="N41" s="2"/>
    </row>
    <row r="42" spans="1:254">
      <c r="B42" s="14"/>
      <c r="C42" s="3"/>
      <c r="D42" s="3"/>
      <c r="E42" s="3"/>
      <c r="F42" s="35" t="s">
        <v>6</v>
      </c>
      <c r="G42" s="110"/>
      <c r="H42" s="110"/>
      <c r="I42" s="18"/>
      <c r="K42" s="2"/>
      <c r="L42" s="2"/>
      <c r="M42" s="2"/>
      <c r="N42" s="2"/>
    </row>
    <row r="43" spans="1:254">
      <c r="B43" s="14"/>
      <c r="C43" s="3"/>
      <c r="D43" s="3"/>
      <c r="E43" s="3"/>
      <c r="I43" s="18"/>
      <c r="K43" s="2"/>
      <c r="L43" s="2"/>
      <c r="M43" s="2"/>
      <c r="N43" s="2"/>
    </row>
    <row r="44" spans="1:254">
      <c r="B44" s="14"/>
      <c r="C44" s="3"/>
      <c r="D44" s="3"/>
      <c r="E44" s="3"/>
      <c r="F44" s="35" t="s">
        <v>7</v>
      </c>
      <c r="G44" s="110"/>
      <c r="H44" s="110"/>
      <c r="I44" s="18"/>
      <c r="K44" s="2"/>
      <c r="L44" s="2"/>
      <c r="M44" s="2"/>
      <c r="N44" s="2"/>
    </row>
    <row r="45" spans="1:254">
      <c r="B45" s="14"/>
      <c r="C45" s="3"/>
      <c r="D45" s="3"/>
      <c r="E45" s="3"/>
      <c r="I45" s="18"/>
      <c r="K45" s="2"/>
      <c r="L45" s="2"/>
      <c r="M45" s="2"/>
      <c r="N45" s="2"/>
    </row>
    <row r="46" spans="1:254">
      <c r="B46" s="14"/>
      <c r="C46" s="3"/>
      <c r="D46" s="3"/>
      <c r="E46" s="3"/>
      <c r="F46" s="35" t="s">
        <v>8</v>
      </c>
      <c r="G46" s="98">
        <f>$G$5</f>
        <v>42913</v>
      </c>
      <c r="H46" s="98"/>
      <c r="I46" s="18"/>
      <c r="K46" s="2"/>
      <c r="L46" s="2"/>
      <c r="M46" s="2"/>
      <c r="N46" s="2"/>
    </row>
    <row r="47" spans="1:254">
      <c r="B47" s="14"/>
      <c r="C47" s="3"/>
      <c r="D47" s="3"/>
      <c r="E47" s="3"/>
      <c r="F47" s="3"/>
      <c r="G47" s="3"/>
      <c r="H47" s="3"/>
      <c r="I47" s="18"/>
      <c r="K47" s="2"/>
      <c r="L47" s="2"/>
      <c r="M47" s="2"/>
      <c r="N47" s="2"/>
    </row>
    <row r="48" spans="1:254" ht="15.75" thickBot="1">
      <c r="B48" s="36"/>
      <c r="C48" s="37"/>
      <c r="D48" s="37"/>
      <c r="E48" s="37"/>
      <c r="F48" s="37"/>
      <c r="G48" s="37"/>
      <c r="H48" s="37"/>
      <c r="I48" s="38"/>
      <c r="K48" s="2"/>
      <c r="L48" s="2"/>
      <c r="M48" s="2"/>
      <c r="N48" s="2"/>
    </row>
    <row r="49" spans="2:14" ht="15.75" thickBot="1">
      <c r="B49" s="39"/>
      <c r="C49" s="40"/>
      <c r="D49" s="40"/>
      <c r="E49" s="40"/>
      <c r="F49" s="40"/>
      <c r="G49" s="40"/>
      <c r="H49" s="40"/>
      <c r="I49" s="41"/>
      <c r="N49" s="2"/>
    </row>
    <row r="50" spans="2:14" ht="15.75" thickBot="1">
      <c r="B50" s="42"/>
      <c r="C50" s="43"/>
      <c r="D50" s="43"/>
      <c r="E50" s="43"/>
      <c r="F50" s="43"/>
      <c r="G50" s="43"/>
      <c r="H50" s="43"/>
      <c r="I50" s="44"/>
      <c r="N50" s="2"/>
    </row>
  </sheetData>
  <mergeCells count="10">
    <mergeCell ref="G46:H46"/>
    <mergeCell ref="B4:I4"/>
    <mergeCell ref="B5:D5"/>
    <mergeCell ref="G5:I5"/>
    <mergeCell ref="B6:I6"/>
    <mergeCell ref="B37:I37"/>
    <mergeCell ref="B38:I38"/>
    <mergeCell ref="C40:H40"/>
    <mergeCell ref="G42:H42"/>
    <mergeCell ref="G44:H44"/>
  </mergeCells>
  <pageMargins left="0.7" right="0.7" top="0.75" bottom="0.75" header="0.3" footer="0.3"/>
  <pageSetup orientation="portrait" horizontalDpi="300" verticalDpi="300" r:id="rId1"/>
  <ignoredErrors>
    <ignoredError sqref="H24" formulaRange="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
  <sheetViews>
    <sheetView workbookViewId="0"/>
  </sheetViews>
  <sheetFormatPr defaultRowHeight="15"/>
  <cols>
    <col min="1" max="1" width="40.42578125" bestFit="1" customWidth="1"/>
  </cols>
  <sheetData>
    <row r="1" spans="1:3">
      <c r="A1" t="s">
        <v>52</v>
      </c>
      <c r="C1" s="1" t="s">
        <v>222</v>
      </c>
    </row>
    <row r="2" spans="1:3">
      <c r="A2" t="s">
        <v>53</v>
      </c>
      <c r="C2" t="s">
        <v>223</v>
      </c>
    </row>
    <row r="3" spans="1:3">
      <c r="A3" t="s">
        <v>54</v>
      </c>
    </row>
    <row r="4" spans="1:3">
      <c r="A4" t="s">
        <v>55</v>
      </c>
    </row>
    <row r="5" spans="1:3">
      <c r="A5" t="s">
        <v>172</v>
      </c>
    </row>
  </sheetData>
  <pageMargins left="0.7" right="0.7" top="0.75" bottom="0.75" header="0.3" footer="0.3"/>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3"/>
  <sheetViews>
    <sheetView workbookViewId="0"/>
  </sheetViews>
  <sheetFormatPr defaultRowHeight="15"/>
  <cols>
    <col min="1" max="1" width="30.7109375" customWidth="1"/>
    <col min="2" max="2" width="11.85546875" customWidth="1"/>
    <col min="3" max="4" width="10.85546875" customWidth="1"/>
    <col min="5" max="5" width="9.85546875" customWidth="1"/>
    <col min="6" max="6" width="11.85546875" customWidth="1"/>
    <col min="8" max="8" width="9.5703125" customWidth="1"/>
    <col min="9" max="9" width="9.85546875" customWidth="1"/>
    <col min="10" max="10" width="14" customWidth="1"/>
    <col min="11" max="11" width="11.5703125" customWidth="1"/>
  </cols>
  <sheetData>
    <row r="1" spans="1:11">
      <c r="A1" t="s">
        <v>56</v>
      </c>
      <c r="B1" t="s">
        <v>28</v>
      </c>
      <c r="C1" t="s">
        <v>9</v>
      </c>
      <c r="D1" t="s">
        <v>10</v>
      </c>
      <c r="E1" t="s">
        <v>22</v>
      </c>
      <c r="F1" t="s">
        <v>57</v>
      </c>
      <c r="G1" s="63" t="s">
        <v>173</v>
      </c>
      <c r="H1" s="63" t="s">
        <v>37</v>
      </c>
      <c r="I1" s="21" t="s">
        <v>58</v>
      </c>
      <c r="J1" s="21" t="s">
        <v>59</v>
      </c>
      <c r="K1" t="s">
        <v>60</v>
      </c>
    </row>
    <row r="2" spans="1:11">
      <c r="A2" s="64" t="s">
        <v>69</v>
      </c>
      <c r="B2" s="21">
        <v>121102.56000000003</v>
      </c>
      <c r="C2" s="21">
        <v>1248.48</v>
      </c>
      <c r="D2" s="21">
        <v>2350.08</v>
      </c>
      <c r="E2" s="21">
        <v>1336.6100000000001</v>
      </c>
      <c r="F2" s="21">
        <f>SUM(B2:E2)</f>
        <v>126037.73000000003</v>
      </c>
      <c r="G2" s="63">
        <f>+F2/F23</f>
        <v>0.5385927178594222</v>
      </c>
      <c r="H2" s="63">
        <f t="shared" ref="H2:H22" si="0">IFERROR(ABS(SUM(E2))/F2,0)</f>
        <v>1.0604840312500073E-2</v>
      </c>
      <c r="I2" s="21">
        <f t="shared" ref="I2:I22" si="1">IF(H2&gt;$K$2,F2,SUM(E2))</f>
        <v>1336.6100000000001</v>
      </c>
      <c r="J2" s="21">
        <f t="shared" ref="J2:J22" si="2">IF(I2&gt;0,I2,0)</f>
        <v>1336.6100000000001</v>
      </c>
      <c r="K2" s="63">
        <v>0.35</v>
      </c>
    </row>
    <row r="3" spans="1:11">
      <c r="A3" s="64" t="s">
        <v>63</v>
      </c>
      <c r="B3" s="21">
        <v>20101.440000000002</v>
      </c>
      <c r="C3" s="21">
        <v>6536.4</v>
      </c>
      <c r="D3" s="21">
        <v>371.9</v>
      </c>
      <c r="E3" s="21">
        <v>294.48</v>
      </c>
      <c r="F3" s="21">
        <f t="shared" ref="F3:F22" si="3">SUM(B3:E3)</f>
        <v>27304.220000000005</v>
      </c>
      <c r="G3" s="63">
        <f>+G2+(F3/$F$23)</f>
        <v>0.65527090667503796</v>
      </c>
      <c r="H3" s="63">
        <f t="shared" si="0"/>
        <v>1.0785146032371552E-2</v>
      </c>
      <c r="I3" s="21">
        <f t="shared" si="1"/>
        <v>294.48</v>
      </c>
      <c r="J3" s="21">
        <f t="shared" si="2"/>
        <v>294.48</v>
      </c>
    </row>
    <row r="4" spans="1:11">
      <c r="A4" s="64" t="s">
        <v>68</v>
      </c>
      <c r="B4" s="21">
        <v>5822.0400000000009</v>
      </c>
      <c r="C4" s="21">
        <v>7198.68</v>
      </c>
      <c r="D4" s="21">
        <v>5133.72</v>
      </c>
      <c r="E4" s="21">
        <v>1720.8000000000002</v>
      </c>
      <c r="F4" s="21">
        <f t="shared" si="3"/>
        <v>19875.240000000002</v>
      </c>
      <c r="G4" s="63">
        <f t="shared" ref="G4:G22" si="4">+G3+(F4/$F$23)</f>
        <v>0.74020308951987579</v>
      </c>
      <c r="H4" s="63">
        <f t="shared" si="0"/>
        <v>8.6580086580086577E-2</v>
      </c>
      <c r="I4" s="21">
        <f t="shared" si="1"/>
        <v>1720.8000000000002</v>
      </c>
      <c r="J4" s="21">
        <f t="shared" si="2"/>
        <v>1720.8000000000002</v>
      </c>
    </row>
    <row r="5" spans="1:11">
      <c r="A5" s="64" t="s">
        <v>65</v>
      </c>
      <c r="B5" s="21">
        <v>2937.6</v>
      </c>
      <c r="C5" s="21">
        <v>5787.08</v>
      </c>
      <c r="D5" s="21">
        <v>2937.6</v>
      </c>
      <c r="E5" s="21">
        <v>3554.14</v>
      </c>
      <c r="F5" s="21">
        <f t="shared" si="3"/>
        <v>15216.42</v>
      </c>
      <c r="G5" s="63">
        <f t="shared" si="4"/>
        <v>0.80522689631083011</v>
      </c>
      <c r="H5" s="63">
        <f t="shared" si="0"/>
        <v>0.23357268003906306</v>
      </c>
      <c r="I5" s="21">
        <f t="shared" si="1"/>
        <v>3554.14</v>
      </c>
      <c r="J5" s="21">
        <f t="shared" si="2"/>
        <v>3554.14</v>
      </c>
    </row>
    <row r="6" spans="1:11">
      <c r="A6" s="64" t="s">
        <v>67</v>
      </c>
      <c r="B6" s="21"/>
      <c r="C6" s="21">
        <v>10452.5</v>
      </c>
      <c r="D6" s="21"/>
      <c r="E6" s="21"/>
      <c r="F6" s="21">
        <f t="shared" si="3"/>
        <v>10452.5</v>
      </c>
      <c r="G6" s="63">
        <f t="shared" si="4"/>
        <v>0.84989320681503877</v>
      </c>
      <c r="H6" s="63">
        <f t="shared" si="0"/>
        <v>0</v>
      </c>
      <c r="I6" s="21">
        <f t="shared" si="1"/>
        <v>0</v>
      </c>
      <c r="J6" s="21">
        <f t="shared" si="2"/>
        <v>0</v>
      </c>
    </row>
    <row r="7" spans="1:11">
      <c r="A7" s="64" t="s">
        <v>64</v>
      </c>
      <c r="B7" s="21">
        <v>7344</v>
      </c>
      <c r="C7" s="21"/>
      <c r="D7" s="21"/>
      <c r="E7" s="21"/>
      <c r="F7" s="21">
        <f t="shared" si="3"/>
        <v>7344</v>
      </c>
      <c r="G7" s="63">
        <f t="shared" si="4"/>
        <v>0.88127607066033009</v>
      </c>
      <c r="H7" s="63">
        <f t="shared" si="0"/>
        <v>0</v>
      </c>
      <c r="I7" s="21">
        <f t="shared" si="1"/>
        <v>0</v>
      </c>
      <c r="J7" s="21">
        <f t="shared" si="2"/>
        <v>0</v>
      </c>
    </row>
    <row r="8" spans="1:11">
      <c r="A8" s="64" t="s">
        <v>266</v>
      </c>
      <c r="B8" s="21">
        <v>5760</v>
      </c>
      <c r="C8" s="21"/>
      <c r="D8" s="21"/>
      <c r="E8" s="21"/>
      <c r="F8" s="21">
        <f t="shared" si="3"/>
        <v>5760</v>
      </c>
      <c r="G8" s="63">
        <f t="shared" si="4"/>
        <v>0.90589008151938211</v>
      </c>
      <c r="H8" s="63">
        <f t="shared" si="0"/>
        <v>0</v>
      </c>
      <c r="I8" s="21">
        <f t="shared" si="1"/>
        <v>0</v>
      </c>
      <c r="J8" s="21">
        <f t="shared" si="2"/>
        <v>0</v>
      </c>
    </row>
    <row r="9" spans="1:11">
      <c r="A9" s="64" t="s">
        <v>175</v>
      </c>
      <c r="B9" s="21">
        <v>4043.5199999999995</v>
      </c>
      <c r="C9" s="21">
        <v>1347.84</v>
      </c>
      <c r="D9" s="21"/>
      <c r="E9" s="21"/>
      <c r="F9" s="21">
        <f t="shared" si="3"/>
        <v>5391.36</v>
      </c>
      <c r="G9" s="63">
        <f t="shared" si="4"/>
        <v>0.92892879568345488</v>
      </c>
      <c r="H9" s="63">
        <f t="shared" si="0"/>
        <v>0</v>
      </c>
      <c r="I9" s="21">
        <f t="shared" si="1"/>
        <v>0</v>
      </c>
      <c r="J9" s="21">
        <f t="shared" si="2"/>
        <v>0</v>
      </c>
    </row>
    <row r="10" spans="1:11">
      <c r="A10" s="64" t="s">
        <v>174</v>
      </c>
      <c r="B10" s="21">
        <v>3196.8</v>
      </c>
      <c r="C10" s="21">
        <v>799.2</v>
      </c>
      <c r="D10" s="21"/>
      <c r="E10" s="21"/>
      <c r="F10" s="21">
        <f t="shared" si="3"/>
        <v>3996</v>
      </c>
      <c r="G10" s="63">
        <f t="shared" si="4"/>
        <v>0.94600476571692227</v>
      </c>
      <c r="H10" s="63">
        <f t="shared" si="0"/>
        <v>0</v>
      </c>
      <c r="I10" s="21">
        <f t="shared" si="1"/>
        <v>0</v>
      </c>
      <c r="J10" s="21">
        <f t="shared" si="2"/>
        <v>0</v>
      </c>
    </row>
    <row r="11" spans="1:11">
      <c r="A11" s="64" t="s">
        <v>267</v>
      </c>
      <c r="B11" s="21">
        <v>3755</v>
      </c>
      <c r="C11" s="21"/>
      <c r="D11" s="21"/>
      <c r="E11" s="21"/>
      <c r="F11" s="21">
        <f t="shared" si="3"/>
        <v>3755</v>
      </c>
      <c r="G11" s="63">
        <f t="shared" si="4"/>
        <v>0.96205087869882167</v>
      </c>
      <c r="H11" s="63">
        <f t="shared" si="0"/>
        <v>0</v>
      </c>
      <c r="I11" s="21">
        <f t="shared" si="1"/>
        <v>0</v>
      </c>
      <c r="J11" s="21">
        <f t="shared" si="2"/>
        <v>0</v>
      </c>
    </row>
    <row r="12" spans="1:11">
      <c r="A12" s="64" t="s">
        <v>61</v>
      </c>
      <c r="B12" s="21">
        <v>570</v>
      </c>
      <c r="C12" s="21">
        <v>2100</v>
      </c>
      <c r="D12" s="21">
        <v>187.38</v>
      </c>
      <c r="E12" s="21"/>
      <c r="F12" s="21">
        <f t="shared" si="3"/>
        <v>2857.38</v>
      </c>
      <c r="G12" s="63">
        <f t="shared" si="4"/>
        <v>0.9742612228565366</v>
      </c>
      <c r="H12" s="63">
        <f t="shared" si="0"/>
        <v>0</v>
      </c>
      <c r="I12" s="21">
        <f t="shared" si="1"/>
        <v>0</v>
      </c>
      <c r="J12" s="21">
        <f t="shared" si="2"/>
        <v>0</v>
      </c>
    </row>
    <row r="13" spans="1:11">
      <c r="A13" s="64" t="s">
        <v>137</v>
      </c>
      <c r="B13" s="21">
        <v>2242</v>
      </c>
      <c r="C13" s="21"/>
      <c r="D13" s="21"/>
      <c r="E13" s="21"/>
      <c r="F13" s="21">
        <f t="shared" si="3"/>
        <v>2242</v>
      </c>
      <c r="G13" s="63">
        <f t="shared" si="4"/>
        <v>0.98384188472216072</v>
      </c>
      <c r="H13" s="63">
        <f t="shared" si="0"/>
        <v>0</v>
      </c>
      <c r="I13" s="21">
        <f t="shared" si="1"/>
        <v>0</v>
      </c>
      <c r="J13" s="21">
        <f t="shared" si="2"/>
        <v>0</v>
      </c>
    </row>
    <row r="14" spans="1:11">
      <c r="A14" s="64" t="s">
        <v>218</v>
      </c>
      <c r="B14" s="21">
        <v>1464</v>
      </c>
      <c r="C14" s="21"/>
      <c r="D14" s="21"/>
      <c r="E14" s="21"/>
      <c r="F14" s="21">
        <f t="shared" si="3"/>
        <v>1464</v>
      </c>
      <c r="G14" s="63">
        <f t="shared" si="4"/>
        <v>0.99009794581550314</v>
      </c>
      <c r="H14" s="63">
        <f t="shared" si="0"/>
        <v>0</v>
      </c>
      <c r="I14" s="21">
        <f t="shared" si="1"/>
        <v>0</v>
      </c>
      <c r="J14" s="21">
        <f t="shared" si="2"/>
        <v>0</v>
      </c>
    </row>
    <row r="15" spans="1:11">
      <c r="A15" s="64" t="s">
        <v>327</v>
      </c>
      <c r="B15" s="21">
        <v>1250</v>
      </c>
      <c r="C15" s="21"/>
      <c r="D15" s="21"/>
      <c r="E15" s="21"/>
      <c r="F15" s="21">
        <f t="shared" si="3"/>
        <v>1250</v>
      </c>
      <c r="G15" s="63">
        <f t="shared" si="4"/>
        <v>0.99543952803317937</v>
      </c>
      <c r="H15" s="63">
        <f t="shared" si="0"/>
        <v>0</v>
      </c>
      <c r="I15" s="21">
        <f t="shared" si="1"/>
        <v>0</v>
      </c>
      <c r="J15" s="21">
        <f t="shared" si="2"/>
        <v>0</v>
      </c>
    </row>
    <row r="16" spans="1:11">
      <c r="A16" s="64" t="s">
        <v>66</v>
      </c>
      <c r="B16" s="21"/>
      <c r="C16" s="21"/>
      <c r="D16" s="21"/>
      <c r="E16" s="21">
        <v>311.77</v>
      </c>
      <c r="F16" s="21">
        <f t="shared" si="3"/>
        <v>311.77</v>
      </c>
      <c r="G16" s="63">
        <f t="shared" si="4"/>
        <v>0.99677180410358335</v>
      </c>
      <c r="H16" s="63">
        <f t="shared" si="0"/>
        <v>1</v>
      </c>
      <c r="I16" s="21">
        <f t="shared" si="1"/>
        <v>311.77</v>
      </c>
      <c r="J16" s="21">
        <f t="shared" si="2"/>
        <v>311.77</v>
      </c>
    </row>
    <row r="17" spans="1:10">
      <c r="A17" s="64" t="s">
        <v>176</v>
      </c>
      <c r="B17" s="21">
        <v>180.89</v>
      </c>
      <c r="C17" s="21">
        <v>123.76</v>
      </c>
      <c r="D17" s="21"/>
      <c r="E17" s="21"/>
      <c r="F17" s="21">
        <f t="shared" si="3"/>
        <v>304.64999999999998</v>
      </c>
      <c r="G17" s="63">
        <f t="shared" si="4"/>
        <v>0.9980736545216754</v>
      </c>
      <c r="H17" s="63">
        <f t="shared" si="0"/>
        <v>0</v>
      </c>
      <c r="I17" s="21">
        <f t="shared" si="1"/>
        <v>0</v>
      </c>
      <c r="J17" s="21">
        <f t="shared" si="2"/>
        <v>0</v>
      </c>
    </row>
    <row r="18" spans="1:10">
      <c r="A18" s="64" t="s">
        <v>135</v>
      </c>
      <c r="B18" s="21"/>
      <c r="C18" s="21">
        <v>295.60000000000002</v>
      </c>
      <c r="D18" s="21"/>
      <c r="E18" s="21"/>
      <c r="F18" s="21">
        <f t="shared" si="3"/>
        <v>295.60000000000002</v>
      </c>
      <c r="G18" s="63">
        <f t="shared" si="4"/>
        <v>0.9993368318845115</v>
      </c>
      <c r="H18" s="63">
        <f t="shared" si="0"/>
        <v>0</v>
      </c>
      <c r="I18" s="21">
        <f t="shared" si="1"/>
        <v>0</v>
      </c>
      <c r="J18" s="21">
        <f t="shared" si="2"/>
        <v>0</v>
      </c>
    </row>
    <row r="19" spans="1:10">
      <c r="A19" s="64" t="s">
        <v>62</v>
      </c>
      <c r="B19" s="21">
        <v>178.43</v>
      </c>
      <c r="C19" s="21"/>
      <c r="D19" s="21"/>
      <c r="E19" s="21"/>
      <c r="F19" s="21">
        <f t="shared" si="3"/>
        <v>178.43</v>
      </c>
      <c r="G19" s="63">
        <f t="shared" si="4"/>
        <v>1.0000993106965914</v>
      </c>
      <c r="H19" s="63">
        <f t="shared" si="0"/>
        <v>0</v>
      </c>
      <c r="I19" s="21">
        <f t="shared" si="1"/>
        <v>0</v>
      </c>
      <c r="J19" s="21">
        <f t="shared" si="2"/>
        <v>0</v>
      </c>
    </row>
    <row r="20" spans="1:10">
      <c r="A20" s="64" t="s">
        <v>136</v>
      </c>
      <c r="B20" s="21">
        <v>157.03</v>
      </c>
      <c r="C20" s="21"/>
      <c r="D20" s="21"/>
      <c r="E20" s="21"/>
      <c r="F20" s="21">
        <f t="shared" si="3"/>
        <v>157.03</v>
      </c>
      <c r="G20" s="63">
        <f t="shared" si="4"/>
        <v>1.0007703416211047</v>
      </c>
      <c r="H20" s="63">
        <f t="shared" si="0"/>
        <v>0</v>
      </c>
      <c r="I20" s="21">
        <f t="shared" si="1"/>
        <v>0</v>
      </c>
      <c r="J20" s="21">
        <f t="shared" si="2"/>
        <v>0</v>
      </c>
    </row>
    <row r="21" spans="1:10">
      <c r="A21" s="64" t="s">
        <v>268</v>
      </c>
      <c r="B21" s="21">
        <v>152.05000000000001</v>
      </c>
      <c r="C21" s="21"/>
      <c r="D21" s="21"/>
      <c r="E21" s="21"/>
      <c r="F21" s="21">
        <f t="shared" si="3"/>
        <v>152.05000000000001</v>
      </c>
      <c r="G21" s="63">
        <f t="shared" si="4"/>
        <v>1.0014200916820628</v>
      </c>
      <c r="H21" s="63">
        <f t="shared" si="0"/>
        <v>0</v>
      </c>
      <c r="I21" s="21">
        <f t="shared" si="1"/>
        <v>0</v>
      </c>
      <c r="J21" s="21">
        <f t="shared" si="2"/>
        <v>0</v>
      </c>
    </row>
    <row r="22" spans="1:10">
      <c r="A22" s="64" t="s">
        <v>364</v>
      </c>
      <c r="B22" s="21"/>
      <c r="C22" s="21"/>
      <c r="D22" s="21"/>
      <c r="E22" s="21">
        <v>-332.32</v>
      </c>
      <c r="F22" s="21">
        <f t="shared" si="3"/>
        <v>-332.32</v>
      </c>
      <c r="G22" s="63">
        <f t="shared" si="4"/>
        <v>1.0000000000000002</v>
      </c>
      <c r="H22" s="63">
        <f t="shared" si="0"/>
        <v>-1</v>
      </c>
      <c r="I22" s="21">
        <f t="shared" si="1"/>
        <v>-332.32</v>
      </c>
      <c r="J22" s="21">
        <f t="shared" si="2"/>
        <v>0</v>
      </c>
    </row>
    <row r="23" spans="1:10">
      <c r="A23" s="64" t="s">
        <v>57</v>
      </c>
      <c r="B23" s="21">
        <f>+SUM(B2:B22)</f>
        <v>180257.36000000002</v>
      </c>
      <c r="C23" s="21">
        <f t="shared" ref="C23:F23" si="5">+SUM(C2:C22)</f>
        <v>35889.54</v>
      </c>
      <c r="D23" s="21">
        <f t="shared" si="5"/>
        <v>10980.68</v>
      </c>
      <c r="E23" s="21">
        <f t="shared" si="5"/>
        <v>6885.4800000000014</v>
      </c>
      <c r="F23" s="21">
        <f t="shared" si="5"/>
        <v>234013.06</v>
      </c>
    </row>
  </sheetData>
  <sortState ref="A2:F18">
    <sortCondition descending="1" ref="F2:F1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1"/>
  <sheetViews>
    <sheetView tabSelected="1" workbookViewId="0">
      <selection activeCell="V17" sqref="V17"/>
    </sheetView>
  </sheetViews>
  <sheetFormatPr defaultColWidth="8.85546875" defaultRowHeight="15"/>
  <cols>
    <col min="1" max="1" width="11.85546875" style="62" customWidth="1"/>
    <col min="2" max="2" width="8.7109375" style="62" customWidth="1"/>
    <col min="3" max="3" width="10" style="62" customWidth="1"/>
    <col min="4" max="4" width="16" style="62" customWidth="1"/>
    <col min="5" max="5" width="27.42578125" style="62" customWidth="1"/>
    <col min="6" max="6" width="10.28515625" style="62" customWidth="1"/>
    <col min="7" max="7" width="8.7109375" style="62" customWidth="1"/>
    <col min="8" max="8" width="5.42578125" style="62" customWidth="1"/>
    <col min="9" max="9" width="11.42578125" style="62" customWidth="1"/>
    <col min="10" max="10" width="5.140625" customWidth="1"/>
  </cols>
  <sheetData>
    <row r="1" spans="1:11">
      <c r="A1" s="66" t="s">
        <v>70</v>
      </c>
      <c r="B1" s="67">
        <v>42912</v>
      </c>
      <c r="C1" s="66" t="s">
        <v>365</v>
      </c>
      <c r="D1" s="66" t="s">
        <v>366</v>
      </c>
      <c r="E1" s="66" t="s">
        <v>63</v>
      </c>
      <c r="F1" s="66" t="s">
        <v>81</v>
      </c>
      <c r="G1" s="67">
        <v>42942</v>
      </c>
      <c r="H1" s="93"/>
      <c r="I1" s="94">
        <v>9587.52</v>
      </c>
      <c r="J1" s="68">
        <v>1</v>
      </c>
      <c r="K1" s="56" t="s">
        <v>28</v>
      </c>
    </row>
    <row r="2" spans="1:11">
      <c r="A2" s="66" t="s">
        <v>70</v>
      </c>
      <c r="B2" s="67">
        <v>42909</v>
      </c>
      <c r="C2" s="66" t="s">
        <v>367</v>
      </c>
      <c r="D2" s="66" t="s">
        <v>368</v>
      </c>
      <c r="E2" s="66" t="s">
        <v>147</v>
      </c>
      <c r="F2" s="66" t="s">
        <v>72</v>
      </c>
      <c r="G2" s="67">
        <v>42939</v>
      </c>
      <c r="H2" s="93"/>
      <c r="I2" s="94">
        <v>1468.8</v>
      </c>
      <c r="J2" s="68">
        <v>4</v>
      </c>
      <c r="K2" s="56" t="s">
        <v>28</v>
      </c>
    </row>
    <row r="3" spans="1:11">
      <c r="A3" s="66" t="s">
        <v>70</v>
      </c>
      <c r="B3" s="67">
        <v>42909</v>
      </c>
      <c r="C3" s="66" t="s">
        <v>369</v>
      </c>
      <c r="D3" s="66" t="s">
        <v>370</v>
      </c>
      <c r="E3" s="66" t="s">
        <v>86</v>
      </c>
      <c r="F3" s="66" t="s">
        <v>72</v>
      </c>
      <c r="G3" s="67">
        <v>42939</v>
      </c>
      <c r="H3" s="93"/>
      <c r="I3" s="94">
        <v>1468.8</v>
      </c>
      <c r="J3" s="68">
        <v>4</v>
      </c>
      <c r="K3" s="56" t="s">
        <v>28</v>
      </c>
    </row>
    <row r="4" spans="1:11">
      <c r="A4" s="66" t="s">
        <v>70</v>
      </c>
      <c r="B4" s="67">
        <v>42909</v>
      </c>
      <c r="C4" s="66" t="s">
        <v>371</v>
      </c>
      <c r="D4" s="66" t="s">
        <v>372</v>
      </c>
      <c r="E4" s="66" t="s">
        <v>87</v>
      </c>
      <c r="F4" s="66" t="s">
        <v>72</v>
      </c>
      <c r="G4" s="67">
        <v>42939</v>
      </c>
      <c r="H4" s="93"/>
      <c r="I4" s="94">
        <v>1468.8</v>
      </c>
      <c r="J4" s="68">
        <v>4</v>
      </c>
      <c r="K4" s="56" t="s">
        <v>28</v>
      </c>
    </row>
    <row r="5" spans="1:11">
      <c r="A5" s="66" t="s">
        <v>70</v>
      </c>
      <c r="B5" s="67">
        <v>42909</v>
      </c>
      <c r="C5" s="66" t="s">
        <v>373</v>
      </c>
      <c r="D5" s="66" t="s">
        <v>374</v>
      </c>
      <c r="E5" s="66" t="s">
        <v>178</v>
      </c>
      <c r="F5" s="66" t="s">
        <v>72</v>
      </c>
      <c r="G5" s="67">
        <v>42939</v>
      </c>
      <c r="H5" s="93"/>
      <c r="I5" s="94">
        <v>4406.3999999999996</v>
      </c>
      <c r="J5" s="68">
        <v>4</v>
      </c>
      <c r="K5" s="56" t="s">
        <v>28</v>
      </c>
    </row>
    <row r="6" spans="1:11">
      <c r="A6" s="66" t="s">
        <v>70</v>
      </c>
      <c r="B6" s="67">
        <v>42908</v>
      </c>
      <c r="C6" s="66" t="s">
        <v>328</v>
      </c>
      <c r="D6" s="66" t="s">
        <v>329</v>
      </c>
      <c r="E6" s="66" t="s">
        <v>95</v>
      </c>
      <c r="F6" s="66" t="s">
        <v>72</v>
      </c>
      <c r="G6" s="67">
        <v>42938</v>
      </c>
      <c r="H6" s="93"/>
      <c r="I6" s="94">
        <v>1468.8</v>
      </c>
      <c r="J6" s="68">
        <v>5</v>
      </c>
      <c r="K6" s="56" t="s">
        <v>28</v>
      </c>
    </row>
    <row r="7" spans="1:11">
      <c r="A7" s="66" t="s">
        <v>70</v>
      </c>
      <c r="B7" s="67">
        <v>42908</v>
      </c>
      <c r="C7" s="66" t="s">
        <v>330</v>
      </c>
      <c r="D7" s="66" t="s">
        <v>331</v>
      </c>
      <c r="E7" s="66" t="s">
        <v>76</v>
      </c>
      <c r="F7" s="66" t="s">
        <v>72</v>
      </c>
      <c r="G7" s="67">
        <v>42938</v>
      </c>
      <c r="H7" s="93"/>
      <c r="I7" s="94">
        <v>2937.6</v>
      </c>
      <c r="J7" s="68">
        <v>5</v>
      </c>
      <c r="K7" s="56" t="s">
        <v>28</v>
      </c>
    </row>
    <row r="8" spans="1:11">
      <c r="A8" s="66" t="s">
        <v>70</v>
      </c>
      <c r="B8" s="67">
        <v>42908</v>
      </c>
      <c r="C8" s="66" t="s">
        <v>332</v>
      </c>
      <c r="D8" s="66" t="s">
        <v>333</v>
      </c>
      <c r="E8" s="66" t="s">
        <v>71</v>
      </c>
      <c r="F8" s="66" t="s">
        <v>72</v>
      </c>
      <c r="G8" s="67">
        <v>42938</v>
      </c>
      <c r="H8" s="93"/>
      <c r="I8" s="94">
        <v>1468.8</v>
      </c>
      <c r="J8" s="68">
        <v>5</v>
      </c>
      <c r="K8" s="56" t="s">
        <v>28</v>
      </c>
    </row>
    <row r="9" spans="1:11">
      <c r="A9" s="66" t="s">
        <v>70</v>
      </c>
      <c r="B9" s="67">
        <v>42908</v>
      </c>
      <c r="C9" s="66" t="s">
        <v>334</v>
      </c>
      <c r="D9" s="66" t="s">
        <v>335</v>
      </c>
      <c r="E9" s="66" t="s">
        <v>175</v>
      </c>
      <c r="F9" s="66" t="s">
        <v>72</v>
      </c>
      <c r="G9" s="67">
        <v>42938</v>
      </c>
      <c r="H9" s="93"/>
      <c r="I9" s="94">
        <v>673.92</v>
      </c>
      <c r="J9" s="68">
        <v>5</v>
      </c>
      <c r="K9" s="56" t="s">
        <v>28</v>
      </c>
    </row>
    <row r="10" spans="1:11">
      <c r="A10" s="66" t="s">
        <v>70</v>
      </c>
      <c r="B10" s="67">
        <v>42908</v>
      </c>
      <c r="C10" s="66" t="s">
        <v>336</v>
      </c>
      <c r="D10" s="66" t="s">
        <v>337</v>
      </c>
      <c r="E10" s="66" t="s">
        <v>175</v>
      </c>
      <c r="F10" s="66" t="s">
        <v>72</v>
      </c>
      <c r="G10" s="67">
        <v>42938</v>
      </c>
      <c r="H10" s="93"/>
      <c r="I10" s="94">
        <v>1347.84</v>
      </c>
      <c r="J10" s="68">
        <v>5</v>
      </c>
      <c r="K10" s="56" t="s">
        <v>28</v>
      </c>
    </row>
    <row r="11" spans="1:11">
      <c r="A11" s="66" t="s">
        <v>70</v>
      </c>
      <c r="B11" s="67">
        <v>42908</v>
      </c>
      <c r="C11" s="66" t="s">
        <v>375</v>
      </c>
      <c r="D11" s="66" t="s">
        <v>376</v>
      </c>
      <c r="E11" s="66" t="s">
        <v>175</v>
      </c>
      <c r="F11" s="66" t="s">
        <v>72</v>
      </c>
      <c r="G11" s="67">
        <v>42938</v>
      </c>
      <c r="H11" s="93"/>
      <c r="I11" s="94">
        <v>673.92</v>
      </c>
      <c r="J11" s="68">
        <v>5</v>
      </c>
      <c r="K11" s="56" t="s">
        <v>28</v>
      </c>
    </row>
    <row r="12" spans="1:11">
      <c r="A12" s="66" t="s">
        <v>70</v>
      </c>
      <c r="B12" s="67">
        <v>42907</v>
      </c>
      <c r="C12" s="66" t="s">
        <v>338</v>
      </c>
      <c r="D12" s="66" t="s">
        <v>339</v>
      </c>
      <c r="E12" s="66" t="s">
        <v>94</v>
      </c>
      <c r="F12" s="66" t="s">
        <v>72</v>
      </c>
      <c r="G12" s="67">
        <v>42937</v>
      </c>
      <c r="H12" s="93"/>
      <c r="I12" s="94">
        <v>1468.8</v>
      </c>
      <c r="J12" s="68">
        <v>6</v>
      </c>
      <c r="K12" s="56" t="s">
        <v>28</v>
      </c>
    </row>
    <row r="13" spans="1:11">
      <c r="A13" s="66" t="s">
        <v>70</v>
      </c>
      <c r="B13" s="67">
        <v>42907</v>
      </c>
      <c r="C13" s="66" t="s">
        <v>340</v>
      </c>
      <c r="D13" s="66" t="s">
        <v>341</v>
      </c>
      <c r="E13" s="66" t="s">
        <v>78</v>
      </c>
      <c r="F13" s="66" t="s">
        <v>72</v>
      </c>
      <c r="G13" s="67">
        <v>42937</v>
      </c>
      <c r="H13" s="93"/>
      <c r="I13" s="94">
        <v>1468.8</v>
      </c>
      <c r="J13" s="68">
        <v>6</v>
      </c>
      <c r="K13" s="56" t="s">
        <v>28</v>
      </c>
    </row>
    <row r="14" spans="1:11">
      <c r="A14" s="66" t="s">
        <v>70</v>
      </c>
      <c r="B14" s="67">
        <v>42906</v>
      </c>
      <c r="C14" s="66" t="s">
        <v>342</v>
      </c>
      <c r="D14" s="66" t="s">
        <v>343</v>
      </c>
      <c r="E14" s="66" t="s">
        <v>63</v>
      </c>
      <c r="F14" s="66" t="s">
        <v>81</v>
      </c>
      <c r="G14" s="67">
        <v>42936</v>
      </c>
      <c r="H14" s="93"/>
      <c r="I14" s="94">
        <v>10513.92</v>
      </c>
      <c r="J14" s="68">
        <v>7</v>
      </c>
      <c r="K14" s="56" t="s">
        <v>28</v>
      </c>
    </row>
    <row r="15" spans="1:11">
      <c r="A15" s="66" t="s">
        <v>70</v>
      </c>
      <c r="B15" s="67">
        <v>42902</v>
      </c>
      <c r="C15" s="66" t="s">
        <v>271</v>
      </c>
      <c r="D15" s="66" t="s">
        <v>272</v>
      </c>
      <c r="E15" s="66" t="s">
        <v>267</v>
      </c>
      <c r="F15" s="66" t="s">
        <v>88</v>
      </c>
      <c r="G15" s="67">
        <v>42917</v>
      </c>
      <c r="H15" s="93"/>
      <c r="I15" s="94">
        <v>1547</v>
      </c>
      <c r="J15" s="68">
        <v>11</v>
      </c>
      <c r="K15" s="56" t="s">
        <v>28</v>
      </c>
    </row>
    <row r="16" spans="1:11">
      <c r="A16" s="66" t="s">
        <v>70</v>
      </c>
      <c r="B16" s="67">
        <v>42902</v>
      </c>
      <c r="C16" s="66" t="s">
        <v>273</v>
      </c>
      <c r="D16" s="66" t="s">
        <v>274</v>
      </c>
      <c r="E16" s="66" t="s">
        <v>267</v>
      </c>
      <c r="F16" s="66" t="s">
        <v>88</v>
      </c>
      <c r="G16" s="67">
        <v>42917</v>
      </c>
      <c r="H16" s="93"/>
      <c r="I16" s="95">
        <v>851</v>
      </c>
      <c r="J16" s="68">
        <v>11</v>
      </c>
      <c r="K16" s="56" t="s">
        <v>28</v>
      </c>
    </row>
    <row r="17" spans="1:11">
      <c r="A17" s="66" t="s">
        <v>70</v>
      </c>
      <c r="B17" s="67">
        <v>42902</v>
      </c>
      <c r="C17" s="66" t="s">
        <v>275</v>
      </c>
      <c r="D17" s="66" t="s">
        <v>276</v>
      </c>
      <c r="E17" s="66" t="s">
        <v>267</v>
      </c>
      <c r="F17" s="66" t="s">
        <v>88</v>
      </c>
      <c r="G17" s="67">
        <v>42917</v>
      </c>
      <c r="H17" s="93"/>
      <c r="I17" s="94">
        <v>1357</v>
      </c>
      <c r="J17" s="68">
        <v>11</v>
      </c>
      <c r="K17" s="56" t="s">
        <v>28</v>
      </c>
    </row>
    <row r="18" spans="1:11">
      <c r="A18" s="66" t="s">
        <v>70</v>
      </c>
      <c r="B18" s="67">
        <v>42902</v>
      </c>
      <c r="C18" s="66" t="s">
        <v>344</v>
      </c>
      <c r="D18" s="66" t="s">
        <v>345</v>
      </c>
      <c r="E18" s="66" t="s">
        <v>83</v>
      </c>
      <c r="F18" s="66" t="s">
        <v>72</v>
      </c>
      <c r="G18" s="67">
        <v>42932</v>
      </c>
      <c r="H18" s="93"/>
      <c r="I18" s="94">
        <v>2937.6</v>
      </c>
      <c r="J18" s="68">
        <v>11</v>
      </c>
      <c r="K18" s="56" t="s">
        <v>28</v>
      </c>
    </row>
    <row r="19" spans="1:11">
      <c r="A19" s="66" t="s">
        <v>70</v>
      </c>
      <c r="B19" s="67">
        <v>42902</v>
      </c>
      <c r="C19" s="66" t="s">
        <v>306</v>
      </c>
      <c r="D19" s="66" t="s">
        <v>346</v>
      </c>
      <c r="E19" s="66" t="s">
        <v>93</v>
      </c>
      <c r="F19" s="66" t="s">
        <v>90</v>
      </c>
      <c r="G19" s="67">
        <v>42962</v>
      </c>
      <c r="H19" s="93"/>
      <c r="I19" s="94">
        <v>315.48</v>
      </c>
      <c r="J19" s="68">
        <v>11</v>
      </c>
      <c r="K19" s="56" t="s">
        <v>28</v>
      </c>
    </row>
    <row r="20" spans="1:11">
      <c r="A20" s="66" t="s">
        <v>70</v>
      </c>
      <c r="B20" s="67">
        <v>42902</v>
      </c>
      <c r="C20" s="66" t="s">
        <v>347</v>
      </c>
      <c r="D20" s="66"/>
      <c r="E20" s="66" t="s">
        <v>89</v>
      </c>
      <c r="F20" s="66" t="s">
        <v>90</v>
      </c>
      <c r="G20" s="67">
        <v>42962</v>
      </c>
      <c r="H20" s="93"/>
      <c r="I20" s="94">
        <v>229.44</v>
      </c>
      <c r="J20" s="68">
        <v>11</v>
      </c>
      <c r="K20" s="56" t="s">
        <v>28</v>
      </c>
    </row>
    <row r="21" spans="1:11">
      <c r="A21" s="66" t="s">
        <v>70</v>
      </c>
      <c r="B21" s="67">
        <v>42902</v>
      </c>
      <c r="C21" s="66" t="s">
        <v>348</v>
      </c>
      <c r="D21" s="66" t="s">
        <v>349</v>
      </c>
      <c r="E21" s="66" t="s">
        <v>91</v>
      </c>
      <c r="F21" s="66" t="s">
        <v>90</v>
      </c>
      <c r="G21" s="67">
        <v>42962</v>
      </c>
      <c r="H21" s="93"/>
      <c r="I21" s="94">
        <v>458.88</v>
      </c>
      <c r="J21" s="68">
        <v>11</v>
      </c>
      <c r="K21" s="56" t="s">
        <v>28</v>
      </c>
    </row>
    <row r="22" spans="1:11">
      <c r="A22" s="66" t="s">
        <v>70</v>
      </c>
      <c r="B22" s="67">
        <v>42902</v>
      </c>
      <c r="C22" s="66" t="s">
        <v>350</v>
      </c>
      <c r="D22" s="66" t="s">
        <v>351</v>
      </c>
      <c r="E22" s="66" t="s">
        <v>92</v>
      </c>
      <c r="F22" s="66" t="s">
        <v>90</v>
      </c>
      <c r="G22" s="67">
        <v>42962</v>
      </c>
      <c r="H22" s="93"/>
      <c r="I22" s="94">
        <v>344.16</v>
      </c>
      <c r="J22" s="68">
        <v>11</v>
      </c>
      <c r="K22" s="56" t="s">
        <v>28</v>
      </c>
    </row>
    <row r="23" spans="1:11">
      <c r="A23" s="66" t="s">
        <v>70</v>
      </c>
      <c r="B23" s="67">
        <v>42902</v>
      </c>
      <c r="C23" s="66" t="s">
        <v>358</v>
      </c>
      <c r="D23" s="66" t="s">
        <v>359</v>
      </c>
      <c r="E23" s="66" t="s">
        <v>93</v>
      </c>
      <c r="F23" s="66" t="s">
        <v>90</v>
      </c>
      <c r="G23" s="67">
        <v>42962</v>
      </c>
      <c r="H23" s="93"/>
      <c r="I23" s="94">
        <v>57.36</v>
      </c>
      <c r="J23" s="68">
        <v>11</v>
      </c>
      <c r="K23" s="56" t="s">
        <v>28</v>
      </c>
    </row>
    <row r="24" spans="1:11">
      <c r="A24" s="66" t="s">
        <v>70</v>
      </c>
      <c r="B24" s="67">
        <v>42902</v>
      </c>
      <c r="C24" s="66" t="s">
        <v>360</v>
      </c>
      <c r="D24" s="66" t="s">
        <v>361</v>
      </c>
      <c r="E24" s="66" t="s">
        <v>89</v>
      </c>
      <c r="F24" s="66" t="s">
        <v>90</v>
      </c>
      <c r="G24" s="67">
        <v>42962</v>
      </c>
      <c r="H24" s="93"/>
      <c r="I24" s="94">
        <v>630.96</v>
      </c>
      <c r="J24" s="68">
        <v>11</v>
      </c>
      <c r="K24" s="56" t="s">
        <v>28</v>
      </c>
    </row>
    <row r="25" spans="1:11">
      <c r="A25" s="66" t="s">
        <v>70</v>
      </c>
      <c r="B25" s="67">
        <v>42902</v>
      </c>
      <c r="C25" s="66" t="s">
        <v>348</v>
      </c>
      <c r="D25" s="66" t="s">
        <v>349</v>
      </c>
      <c r="E25" s="66" t="s">
        <v>91</v>
      </c>
      <c r="F25" s="66" t="s">
        <v>90</v>
      </c>
      <c r="G25" s="67">
        <v>42962</v>
      </c>
      <c r="H25" s="93"/>
      <c r="I25" s="94">
        <v>458.88</v>
      </c>
      <c r="J25" s="68">
        <v>11</v>
      </c>
      <c r="K25" s="56" t="s">
        <v>28</v>
      </c>
    </row>
    <row r="26" spans="1:11">
      <c r="A26" s="66" t="s">
        <v>70</v>
      </c>
      <c r="B26" s="67">
        <v>42902</v>
      </c>
      <c r="C26" s="66" t="s">
        <v>350</v>
      </c>
      <c r="D26" s="66" t="s">
        <v>351</v>
      </c>
      <c r="E26" s="66" t="s">
        <v>92</v>
      </c>
      <c r="F26" s="66" t="s">
        <v>90</v>
      </c>
      <c r="G26" s="67">
        <v>42962</v>
      </c>
      <c r="H26" s="93"/>
      <c r="I26" s="94">
        <v>344.16</v>
      </c>
      <c r="J26" s="68">
        <v>11</v>
      </c>
      <c r="K26" s="56" t="s">
        <v>28</v>
      </c>
    </row>
    <row r="27" spans="1:11">
      <c r="A27" s="66" t="s">
        <v>70</v>
      </c>
      <c r="B27" s="67">
        <v>42900</v>
      </c>
      <c r="C27" s="66" t="s">
        <v>352</v>
      </c>
      <c r="D27" s="66" t="s">
        <v>353</v>
      </c>
      <c r="E27" s="66" t="s">
        <v>327</v>
      </c>
      <c r="F27" s="66" t="s">
        <v>88</v>
      </c>
      <c r="G27" s="67">
        <v>42915</v>
      </c>
      <c r="H27" s="93"/>
      <c r="I27" s="94">
        <v>1250</v>
      </c>
      <c r="J27" s="68">
        <v>13</v>
      </c>
      <c r="K27" s="56" t="s">
        <v>28</v>
      </c>
    </row>
    <row r="28" spans="1:11">
      <c r="A28" s="66" t="s">
        <v>70</v>
      </c>
      <c r="B28" s="67">
        <v>42900</v>
      </c>
      <c r="C28" s="66" t="s">
        <v>354</v>
      </c>
      <c r="D28" s="66" t="s">
        <v>355</v>
      </c>
      <c r="E28" s="66" t="s">
        <v>91</v>
      </c>
      <c r="F28" s="66" t="s">
        <v>90</v>
      </c>
      <c r="G28" s="67">
        <v>42960</v>
      </c>
      <c r="H28" s="93"/>
      <c r="I28" s="94">
        <v>774.36</v>
      </c>
      <c r="J28" s="68">
        <v>13</v>
      </c>
      <c r="K28" s="56" t="s">
        <v>28</v>
      </c>
    </row>
    <row r="29" spans="1:11">
      <c r="A29" s="66" t="s">
        <v>70</v>
      </c>
      <c r="B29" s="67">
        <v>42900</v>
      </c>
      <c r="C29" s="66" t="s">
        <v>356</v>
      </c>
      <c r="D29" s="66" t="s">
        <v>357</v>
      </c>
      <c r="E29" s="66" t="s">
        <v>92</v>
      </c>
      <c r="F29" s="66" t="s">
        <v>90</v>
      </c>
      <c r="G29" s="67">
        <v>42960</v>
      </c>
      <c r="H29" s="93"/>
      <c r="I29" s="94">
        <v>544.91999999999996</v>
      </c>
      <c r="J29" s="68">
        <v>13</v>
      </c>
      <c r="K29" s="56" t="s">
        <v>28</v>
      </c>
    </row>
    <row r="30" spans="1:11">
      <c r="A30" s="66" t="s">
        <v>70</v>
      </c>
      <c r="B30" s="67">
        <v>42900</v>
      </c>
      <c r="C30" s="66" t="s">
        <v>358</v>
      </c>
      <c r="D30" s="66" t="s">
        <v>359</v>
      </c>
      <c r="E30" s="66" t="s">
        <v>93</v>
      </c>
      <c r="F30" s="66" t="s">
        <v>90</v>
      </c>
      <c r="G30" s="67">
        <v>42960</v>
      </c>
      <c r="H30" s="93"/>
      <c r="I30" s="94">
        <v>57.36</v>
      </c>
      <c r="J30" s="68">
        <v>13</v>
      </c>
      <c r="K30" s="56" t="s">
        <v>28</v>
      </c>
    </row>
    <row r="31" spans="1:11">
      <c r="A31" s="66" t="s">
        <v>70</v>
      </c>
      <c r="B31" s="67">
        <v>42900</v>
      </c>
      <c r="C31" s="66" t="s">
        <v>360</v>
      </c>
      <c r="D31" s="66" t="s">
        <v>361</v>
      </c>
      <c r="E31" s="66" t="s">
        <v>89</v>
      </c>
      <c r="F31" s="66" t="s">
        <v>90</v>
      </c>
      <c r="G31" s="67">
        <v>42960</v>
      </c>
      <c r="H31" s="93"/>
      <c r="I31" s="94">
        <v>630.96</v>
      </c>
      <c r="J31" s="68">
        <v>13</v>
      </c>
      <c r="K31" s="56" t="s">
        <v>28</v>
      </c>
    </row>
    <row r="32" spans="1:11">
      <c r="A32" s="66" t="s">
        <v>70</v>
      </c>
      <c r="B32" s="67">
        <v>42899</v>
      </c>
      <c r="C32" s="66" t="s">
        <v>347</v>
      </c>
      <c r="D32" s="66" t="s">
        <v>362</v>
      </c>
      <c r="E32" s="66" t="s">
        <v>174</v>
      </c>
      <c r="F32" s="66" t="s">
        <v>88</v>
      </c>
      <c r="G32" s="67">
        <v>42914</v>
      </c>
      <c r="H32" s="93"/>
      <c r="I32" s="94">
        <v>1598.4</v>
      </c>
      <c r="J32" s="68">
        <v>14</v>
      </c>
      <c r="K32" s="56" t="s">
        <v>28</v>
      </c>
    </row>
    <row r="33" spans="1:11">
      <c r="A33" s="66" t="s">
        <v>70</v>
      </c>
      <c r="B33" s="67">
        <v>42899</v>
      </c>
      <c r="C33" s="66" t="s">
        <v>354</v>
      </c>
      <c r="D33" s="66" t="s">
        <v>363</v>
      </c>
      <c r="E33" s="66" t="s">
        <v>64</v>
      </c>
      <c r="F33" s="66" t="s">
        <v>81</v>
      </c>
      <c r="G33" s="67">
        <v>42929</v>
      </c>
      <c r="H33" s="93"/>
      <c r="I33" s="94">
        <v>4406.3999999999996</v>
      </c>
      <c r="J33" s="68">
        <v>14</v>
      </c>
      <c r="K33" s="56" t="s">
        <v>28</v>
      </c>
    </row>
    <row r="34" spans="1:11">
      <c r="A34" s="66" t="s">
        <v>70</v>
      </c>
      <c r="B34" s="67">
        <v>42898</v>
      </c>
      <c r="C34" s="66" t="s">
        <v>269</v>
      </c>
      <c r="D34" s="66" t="s">
        <v>270</v>
      </c>
      <c r="E34" s="66" t="s">
        <v>74</v>
      </c>
      <c r="F34" s="66" t="s">
        <v>72</v>
      </c>
      <c r="G34" s="67">
        <v>42928</v>
      </c>
      <c r="H34" s="93"/>
      <c r="I34" s="94">
        <v>22472.639999999999</v>
      </c>
      <c r="J34" s="68">
        <v>15</v>
      </c>
      <c r="K34" s="56" t="s">
        <v>28</v>
      </c>
    </row>
    <row r="35" spans="1:11">
      <c r="A35" s="66" t="s">
        <v>70</v>
      </c>
      <c r="B35" s="67">
        <v>42895</v>
      </c>
      <c r="C35" s="66" t="s">
        <v>277</v>
      </c>
      <c r="D35" s="66" t="s">
        <v>278</v>
      </c>
      <c r="E35" s="66" t="s">
        <v>218</v>
      </c>
      <c r="F35" s="66" t="s">
        <v>72</v>
      </c>
      <c r="G35" s="67">
        <v>42925</v>
      </c>
      <c r="H35" s="93"/>
      <c r="I35" s="94">
        <v>1464</v>
      </c>
      <c r="J35" s="68">
        <v>18</v>
      </c>
      <c r="K35" s="56" t="s">
        <v>28</v>
      </c>
    </row>
    <row r="36" spans="1:11">
      <c r="A36" s="66" t="s">
        <v>70</v>
      </c>
      <c r="B36" s="67">
        <v>42895</v>
      </c>
      <c r="C36" s="66" t="s">
        <v>279</v>
      </c>
      <c r="D36" s="66" t="s">
        <v>280</v>
      </c>
      <c r="E36" s="66" t="s">
        <v>84</v>
      </c>
      <c r="F36" s="66" t="s">
        <v>72</v>
      </c>
      <c r="G36" s="67">
        <v>42925</v>
      </c>
      <c r="H36" s="93"/>
      <c r="I36" s="94">
        <v>4406.3999999999996</v>
      </c>
      <c r="J36" s="68">
        <v>18</v>
      </c>
      <c r="K36" s="56" t="s">
        <v>28</v>
      </c>
    </row>
    <row r="37" spans="1:11">
      <c r="A37" s="66" t="s">
        <v>70</v>
      </c>
      <c r="B37" s="67">
        <v>42895</v>
      </c>
      <c r="C37" s="66" t="s">
        <v>281</v>
      </c>
      <c r="D37" s="66" t="s">
        <v>282</v>
      </c>
      <c r="E37" s="66" t="s">
        <v>74</v>
      </c>
      <c r="F37" s="66" t="s">
        <v>72</v>
      </c>
      <c r="G37" s="67">
        <v>42925</v>
      </c>
      <c r="H37" s="93"/>
      <c r="I37" s="94">
        <v>1468.8</v>
      </c>
      <c r="J37" s="68">
        <v>18</v>
      </c>
      <c r="K37" s="56" t="s">
        <v>28</v>
      </c>
    </row>
    <row r="38" spans="1:11">
      <c r="A38" s="66" t="s">
        <v>70</v>
      </c>
      <c r="B38" s="67">
        <v>42895</v>
      </c>
      <c r="C38" s="66" t="s">
        <v>283</v>
      </c>
      <c r="D38" s="66" t="s">
        <v>284</v>
      </c>
      <c r="E38" s="66" t="s">
        <v>86</v>
      </c>
      <c r="F38" s="66" t="s">
        <v>72</v>
      </c>
      <c r="G38" s="67">
        <v>42925</v>
      </c>
      <c r="H38" s="93"/>
      <c r="I38" s="94">
        <v>7490.88</v>
      </c>
      <c r="J38" s="68">
        <v>18</v>
      </c>
      <c r="K38" s="56" t="s">
        <v>28</v>
      </c>
    </row>
    <row r="39" spans="1:11">
      <c r="A39" s="66" t="s">
        <v>70</v>
      </c>
      <c r="B39" s="67">
        <v>42894</v>
      </c>
      <c r="C39" s="66" t="s">
        <v>285</v>
      </c>
      <c r="D39" s="66" t="s">
        <v>286</v>
      </c>
      <c r="E39" s="66" t="s">
        <v>175</v>
      </c>
      <c r="F39" s="66" t="s">
        <v>72</v>
      </c>
      <c r="G39" s="67">
        <v>42924</v>
      </c>
      <c r="H39" s="93"/>
      <c r="I39" s="94">
        <v>1347.84</v>
      </c>
      <c r="J39" s="68">
        <v>19</v>
      </c>
      <c r="K39" s="56" t="s">
        <v>28</v>
      </c>
    </row>
    <row r="40" spans="1:11">
      <c r="A40" s="66" t="s">
        <v>70</v>
      </c>
      <c r="B40" s="67">
        <v>42894</v>
      </c>
      <c r="C40" s="66" t="s">
        <v>287</v>
      </c>
      <c r="D40" s="66" t="s">
        <v>288</v>
      </c>
      <c r="E40" s="66" t="s">
        <v>137</v>
      </c>
      <c r="F40" s="66" t="s">
        <v>81</v>
      </c>
      <c r="G40" s="67">
        <v>42924</v>
      </c>
      <c r="H40" s="93"/>
      <c r="I40" s="94">
        <v>2242</v>
      </c>
      <c r="J40" s="68">
        <v>19</v>
      </c>
      <c r="K40" s="56" t="s">
        <v>28</v>
      </c>
    </row>
    <row r="41" spans="1:11">
      <c r="A41" s="66" t="s">
        <v>70</v>
      </c>
      <c r="B41" s="67">
        <v>42894</v>
      </c>
      <c r="C41" s="66" t="s">
        <v>289</v>
      </c>
      <c r="D41" s="66" t="s">
        <v>290</v>
      </c>
      <c r="E41" s="66" t="s">
        <v>93</v>
      </c>
      <c r="F41" s="66" t="s">
        <v>90</v>
      </c>
      <c r="G41" s="67">
        <v>42954</v>
      </c>
      <c r="H41" s="93"/>
      <c r="I41" s="94">
        <v>172.08</v>
      </c>
      <c r="J41" s="68">
        <v>19</v>
      </c>
      <c r="K41" s="56" t="s">
        <v>28</v>
      </c>
    </row>
    <row r="42" spans="1:11">
      <c r="A42" s="66" t="s">
        <v>70</v>
      </c>
      <c r="B42" s="67">
        <v>42894</v>
      </c>
      <c r="C42" s="66" t="s">
        <v>291</v>
      </c>
      <c r="D42" s="66" t="s">
        <v>292</v>
      </c>
      <c r="E42" s="66" t="s">
        <v>89</v>
      </c>
      <c r="F42" s="66" t="s">
        <v>90</v>
      </c>
      <c r="G42" s="67">
        <v>42954</v>
      </c>
      <c r="H42" s="93"/>
      <c r="I42" s="94">
        <v>57.36</v>
      </c>
      <c r="J42" s="68">
        <v>19</v>
      </c>
      <c r="K42" s="56" t="s">
        <v>28</v>
      </c>
    </row>
    <row r="43" spans="1:11">
      <c r="A43" s="66" t="s">
        <v>70</v>
      </c>
      <c r="B43" s="67">
        <v>42894</v>
      </c>
      <c r="C43" s="66" t="s">
        <v>293</v>
      </c>
      <c r="D43" s="66" t="s">
        <v>294</v>
      </c>
      <c r="E43" s="66" t="s">
        <v>89</v>
      </c>
      <c r="F43" s="66" t="s">
        <v>90</v>
      </c>
      <c r="G43" s="67">
        <v>42954</v>
      </c>
      <c r="H43" s="93"/>
      <c r="I43" s="94">
        <v>143.4</v>
      </c>
      <c r="J43" s="68">
        <v>19</v>
      </c>
      <c r="K43" s="56" t="s">
        <v>28</v>
      </c>
    </row>
    <row r="44" spans="1:11">
      <c r="A44" s="66" t="s">
        <v>70</v>
      </c>
      <c r="B44" s="67">
        <v>42894</v>
      </c>
      <c r="C44" s="66" t="s">
        <v>295</v>
      </c>
      <c r="D44" s="66" t="s">
        <v>296</v>
      </c>
      <c r="E44" s="66" t="s">
        <v>92</v>
      </c>
      <c r="F44" s="66" t="s">
        <v>90</v>
      </c>
      <c r="G44" s="67">
        <v>42954</v>
      </c>
      <c r="H44" s="93"/>
      <c r="I44" s="94">
        <v>86.04</v>
      </c>
      <c r="J44" s="68">
        <v>19</v>
      </c>
      <c r="K44" s="56" t="s">
        <v>28</v>
      </c>
    </row>
    <row r="45" spans="1:11">
      <c r="A45" s="66" t="s">
        <v>70</v>
      </c>
      <c r="B45" s="67">
        <v>42893</v>
      </c>
      <c r="C45" s="66" t="s">
        <v>299</v>
      </c>
      <c r="D45" s="66" t="s">
        <v>300</v>
      </c>
      <c r="E45" s="66" t="s">
        <v>64</v>
      </c>
      <c r="F45" s="66" t="s">
        <v>81</v>
      </c>
      <c r="G45" s="67">
        <v>42923</v>
      </c>
      <c r="H45" s="93"/>
      <c r="I45" s="94">
        <v>2937.6</v>
      </c>
      <c r="J45" s="68">
        <v>20</v>
      </c>
      <c r="K45" s="56" t="s">
        <v>28</v>
      </c>
    </row>
    <row r="46" spans="1:11">
      <c r="A46" s="66" t="s">
        <v>70</v>
      </c>
      <c r="B46" s="67">
        <v>42893</v>
      </c>
      <c r="C46" s="66" t="s">
        <v>301</v>
      </c>
      <c r="D46" s="66" t="s">
        <v>302</v>
      </c>
      <c r="E46" s="66" t="s">
        <v>266</v>
      </c>
      <c r="F46" s="66" t="s">
        <v>81</v>
      </c>
      <c r="G46" s="67">
        <v>42923</v>
      </c>
      <c r="H46" s="93"/>
      <c r="I46" s="94">
        <v>5760</v>
      </c>
      <c r="J46" s="68">
        <v>20</v>
      </c>
      <c r="K46" s="56" t="s">
        <v>28</v>
      </c>
    </row>
    <row r="47" spans="1:11">
      <c r="A47" s="66" t="s">
        <v>70</v>
      </c>
      <c r="B47" s="67">
        <v>42893</v>
      </c>
      <c r="C47" s="66" t="s">
        <v>297</v>
      </c>
      <c r="D47" s="66" t="s">
        <v>298</v>
      </c>
      <c r="E47" s="66" t="s">
        <v>62</v>
      </c>
      <c r="F47" s="66" t="s">
        <v>88</v>
      </c>
      <c r="G47" s="67">
        <v>42908</v>
      </c>
      <c r="H47" s="93">
        <v>5</v>
      </c>
      <c r="I47" s="94">
        <v>178.43</v>
      </c>
      <c r="J47" s="68">
        <v>20</v>
      </c>
      <c r="K47" s="56" t="s">
        <v>28</v>
      </c>
    </row>
    <row r="48" spans="1:11">
      <c r="A48" s="66" t="s">
        <v>70</v>
      </c>
      <c r="B48" s="67">
        <v>42891</v>
      </c>
      <c r="C48" s="66" t="s">
        <v>258</v>
      </c>
      <c r="D48" s="66" t="s">
        <v>259</v>
      </c>
      <c r="E48" s="66" t="s">
        <v>87</v>
      </c>
      <c r="F48" s="66" t="s">
        <v>72</v>
      </c>
      <c r="G48" s="67">
        <v>42921</v>
      </c>
      <c r="H48" s="93"/>
      <c r="I48" s="94">
        <v>9987.84</v>
      </c>
      <c r="J48" s="68">
        <v>22</v>
      </c>
      <c r="K48" s="56" t="s">
        <v>28</v>
      </c>
    </row>
    <row r="49" spans="1:11">
      <c r="A49" s="66" t="s">
        <v>70</v>
      </c>
      <c r="B49" s="67">
        <v>42891</v>
      </c>
      <c r="C49" s="66" t="s">
        <v>260</v>
      </c>
      <c r="D49" s="66" t="s">
        <v>261</v>
      </c>
      <c r="E49" s="66" t="s">
        <v>178</v>
      </c>
      <c r="F49" s="66" t="s">
        <v>72</v>
      </c>
      <c r="G49" s="67">
        <v>42921</v>
      </c>
      <c r="H49" s="93"/>
      <c r="I49" s="94">
        <v>1248.48</v>
      </c>
      <c r="J49" s="68">
        <v>22</v>
      </c>
      <c r="K49" s="56" t="s">
        <v>28</v>
      </c>
    </row>
    <row r="50" spans="1:11">
      <c r="A50" s="66" t="s">
        <v>70</v>
      </c>
      <c r="B50" s="67">
        <v>42891</v>
      </c>
      <c r="C50" s="66" t="s">
        <v>262</v>
      </c>
      <c r="D50" s="66" t="s">
        <v>263</v>
      </c>
      <c r="E50" s="66" t="s">
        <v>85</v>
      </c>
      <c r="F50" s="66" t="s">
        <v>72</v>
      </c>
      <c r="G50" s="67">
        <v>42921</v>
      </c>
      <c r="H50" s="93"/>
      <c r="I50" s="94">
        <v>6242.4</v>
      </c>
      <c r="J50" s="68">
        <v>22</v>
      </c>
      <c r="K50" s="56" t="s">
        <v>28</v>
      </c>
    </row>
    <row r="51" spans="1:11">
      <c r="A51" s="66" t="s">
        <v>70</v>
      </c>
      <c r="B51" s="67">
        <v>42891</v>
      </c>
      <c r="C51" s="66" t="s">
        <v>303</v>
      </c>
      <c r="D51" s="66" t="s">
        <v>304</v>
      </c>
      <c r="E51" s="66" t="s">
        <v>78</v>
      </c>
      <c r="F51" s="66" t="s">
        <v>72</v>
      </c>
      <c r="G51" s="67">
        <v>42921</v>
      </c>
      <c r="H51" s="93"/>
      <c r="I51" s="94">
        <v>1468.8</v>
      </c>
      <c r="J51" s="68">
        <v>22</v>
      </c>
      <c r="K51" s="56" t="s">
        <v>28</v>
      </c>
    </row>
    <row r="52" spans="1:11">
      <c r="A52" s="66" t="s">
        <v>70</v>
      </c>
      <c r="B52" s="67">
        <v>42890</v>
      </c>
      <c r="C52" s="66" t="s">
        <v>305</v>
      </c>
      <c r="D52" s="66" t="s">
        <v>305</v>
      </c>
      <c r="E52" s="66" t="s">
        <v>176</v>
      </c>
      <c r="F52" s="66" t="s">
        <v>88</v>
      </c>
      <c r="G52" s="67">
        <v>42905</v>
      </c>
      <c r="H52" s="93">
        <v>8</v>
      </c>
      <c r="I52" s="94">
        <v>180.89</v>
      </c>
      <c r="J52" s="68">
        <v>23</v>
      </c>
      <c r="K52" s="56" t="s">
        <v>28</v>
      </c>
    </row>
    <row r="53" spans="1:11">
      <c r="A53" s="66" t="s">
        <v>70</v>
      </c>
      <c r="B53" s="67">
        <v>42888</v>
      </c>
      <c r="C53" s="66" t="s">
        <v>224</v>
      </c>
      <c r="D53" s="66" t="s">
        <v>225</v>
      </c>
      <c r="E53" s="66" t="s">
        <v>84</v>
      </c>
      <c r="F53" s="66" t="s">
        <v>72</v>
      </c>
      <c r="G53" s="67">
        <v>42918</v>
      </c>
      <c r="H53" s="93"/>
      <c r="I53" s="94">
        <v>24969.599999999999</v>
      </c>
      <c r="J53" s="68">
        <v>25</v>
      </c>
      <c r="K53" s="56" t="s">
        <v>28</v>
      </c>
    </row>
    <row r="54" spans="1:11">
      <c r="A54" s="66" t="s">
        <v>70</v>
      </c>
      <c r="B54" s="67">
        <v>42888</v>
      </c>
      <c r="C54" s="66" t="s">
        <v>226</v>
      </c>
      <c r="D54" s="66" t="s">
        <v>227</v>
      </c>
      <c r="E54" s="66" t="s">
        <v>75</v>
      </c>
      <c r="F54" s="66" t="s">
        <v>72</v>
      </c>
      <c r="G54" s="67">
        <v>42918</v>
      </c>
      <c r="H54" s="93"/>
      <c r="I54" s="94">
        <v>4993.92</v>
      </c>
      <c r="J54" s="68">
        <v>25</v>
      </c>
      <c r="K54" s="56" t="s">
        <v>28</v>
      </c>
    </row>
    <row r="55" spans="1:11">
      <c r="A55" s="66" t="s">
        <v>70</v>
      </c>
      <c r="B55" s="67">
        <v>42888</v>
      </c>
      <c r="C55" s="66" t="s">
        <v>228</v>
      </c>
      <c r="D55" s="66" t="s">
        <v>229</v>
      </c>
      <c r="E55" s="66" t="s">
        <v>147</v>
      </c>
      <c r="F55" s="66" t="s">
        <v>72</v>
      </c>
      <c r="G55" s="67">
        <v>42918</v>
      </c>
      <c r="H55" s="93"/>
      <c r="I55" s="94">
        <v>1248.48</v>
      </c>
      <c r="J55" s="68">
        <v>25</v>
      </c>
      <c r="K55" s="56" t="s">
        <v>28</v>
      </c>
    </row>
    <row r="56" spans="1:11">
      <c r="A56" s="66" t="s">
        <v>70</v>
      </c>
      <c r="B56" s="67">
        <v>42888</v>
      </c>
      <c r="C56" s="66" t="s">
        <v>306</v>
      </c>
      <c r="D56" s="66" t="s">
        <v>307</v>
      </c>
      <c r="E56" s="66" t="s">
        <v>61</v>
      </c>
      <c r="F56" s="66" t="s">
        <v>81</v>
      </c>
      <c r="G56" s="67">
        <v>42918</v>
      </c>
      <c r="H56" s="93"/>
      <c r="I56" s="94">
        <v>570</v>
      </c>
      <c r="J56" s="68">
        <v>25</v>
      </c>
      <c r="K56" s="56" t="s">
        <v>28</v>
      </c>
    </row>
    <row r="57" spans="1:11">
      <c r="A57" s="66" t="s">
        <v>70</v>
      </c>
      <c r="B57" s="67">
        <v>42888</v>
      </c>
      <c r="C57" s="66" t="s">
        <v>308</v>
      </c>
      <c r="D57" s="66" t="s">
        <v>309</v>
      </c>
      <c r="E57" s="66" t="s">
        <v>93</v>
      </c>
      <c r="F57" s="66" t="s">
        <v>90</v>
      </c>
      <c r="G57" s="67">
        <v>42948</v>
      </c>
      <c r="H57" s="93"/>
      <c r="I57" s="94">
        <v>57.36</v>
      </c>
      <c r="J57" s="68">
        <v>25</v>
      </c>
      <c r="K57" s="56" t="s">
        <v>28</v>
      </c>
    </row>
    <row r="58" spans="1:11">
      <c r="A58" s="66" t="s">
        <v>70</v>
      </c>
      <c r="B58" s="67">
        <v>42888</v>
      </c>
      <c r="C58" s="66" t="s">
        <v>310</v>
      </c>
      <c r="D58" s="66" t="s">
        <v>311</v>
      </c>
      <c r="E58" s="66" t="s">
        <v>89</v>
      </c>
      <c r="F58" s="66" t="s">
        <v>90</v>
      </c>
      <c r="G58" s="67">
        <v>42948</v>
      </c>
      <c r="H58" s="93"/>
      <c r="I58" s="94">
        <v>172.08</v>
      </c>
      <c r="J58" s="68">
        <v>25</v>
      </c>
      <c r="K58" s="56" t="s">
        <v>28</v>
      </c>
    </row>
    <row r="59" spans="1:11" ht="15.75" thickBot="1">
      <c r="A59" s="66" t="s">
        <v>70</v>
      </c>
      <c r="B59" s="67">
        <v>42888</v>
      </c>
      <c r="C59" s="66" t="s">
        <v>312</v>
      </c>
      <c r="D59" s="66" t="s">
        <v>313</v>
      </c>
      <c r="E59" s="66" t="s">
        <v>91</v>
      </c>
      <c r="F59" s="66" t="s">
        <v>90</v>
      </c>
      <c r="G59" s="67">
        <v>42948</v>
      </c>
      <c r="H59" s="93"/>
      <c r="I59" s="96">
        <v>143.4</v>
      </c>
      <c r="J59" s="68">
        <v>25</v>
      </c>
      <c r="K59" s="56" t="s">
        <v>28</v>
      </c>
    </row>
    <row r="60" spans="1:11">
      <c r="A60" s="66" t="s">
        <v>70</v>
      </c>
      <c r="B60" s="67">
        <v>42888</v>
      </c>
      <c r="C60" s="66" t="s">
        <v>314</v>
      </c>
      <c r="D60" s="66" t="s">
        <v>315</v>
      </c>
      <c r="E60" s="66" t="s">
        <v>92</v>
      </c>
      <c r="F60" s="66" t="s">
        <v>90</v>
      </c>
      <c r="G60" s="67">
        <v>42948</v>
      </c>
      <c r="H60" s="93"/>
      <c r="I60" s="94">
        <v>143.4</v>
      </c>
      <c r="J60" s="68">
        <v>25</v>
      </c>
      <c r="K60" t="s">
        <v>28</v>
      </c>
    </row>
    <row r="61" spans="1:11">
      <c r="A61" s="66" t="s">
        <v>70</v>
      </c>
      <c r="B61" s="67">
        <v>42888</v>
      </c>
      <c r="C61" s="66" t="s">
        <v>316</v>
      </c>
      <c r="D61" s="66" t="s">
        <v>316</v>
      </c>
      <c r="E61" s="66" t="s">
        <v>268</v>
      </c>
      <c r="F61" s="66"/>
      <c r="G61" s="67">
        <v>42888</v>
      </c>
      <c r="H61" s="93">
        <v>25</v>
      </c>
      <c r="I61" s="94">
        <v>152.05000000000001</v>
      </c>
      <c r="J61" s="68">
        <v>25</v>
      </c>
      <c r="K61" t="s">
        <v>28</v>
      </c>
    </row>
    <row r="62" spans="1:11">
      <c r="A62" s="66" t="s">
        <v>70</v>
      </c>
      <c r="B62" s="67">
        <v>42886</v>
      </c>
      <c r="C62" s="66" t="s">
        <v>230</v>
      </c>
      <c r="D62" s="66" t="s">
        <v>177</v>
      </c>
      <c r="E62" s="66" t="s">
        <v>74</v>
      </c>
      <c r="F62" s="66" t="s">
        <v>72</v>
      </c>
      <c r="G62" s="67">
        <v>42916</v>
      </c>
      <c r="H62" s="93"/>
      <c r="I62" s="94">
        <v>17478.72</v>
      </c>
      <c r="J62" s="68">
        <v>27</v>
      </c>
      <c r="K62" t="s">
        <v>28</v>
      </c>
    </row>
    <row r="63" spans="1:11">
      <c r="A63" s="66" t="s">
        <v>70</v>
      </c>
      <c r="B63" s="67">
        <v>42885</v>
      </c>
      <c r="C63" s="66" t="s">
        <v>231</v>
      </c>
      <c r="D63" s="66" t="s">
        <v>231</v>
      </c>
      <c r="E63" s="66" t="s">
        <v>136</v>
      </c>
      <c r="F63" s="66" t="s">
        <v>88</v>
      </c>
      <c r="G63" s="67">
        <v>42900</v>
      </c>
      <c r="H63" s="93">
        <v>13</v>
      </c>
      <c r="I63" s="94">
        <v>157.03</v>
      </c>
      <c r="J63" s="68">
        <v>28</v>
      </c>
      <c r="K63" t="s">
        <v>28</v>
      </c>
    </row>
    <row r="64" spans="1:11">
      <c r="A64" s="66" t="s">
        <v>70</v>
      </c>
      <c r="B64" s="67">
        <v>42885</v>
      </c>
      <c r="C64" s="66" t="s">
        <v>317</v>
      </c>
      <c r="D64" s="66" t="s">
        <v>318</v>
      </c>
      <c r="E64" s="66" t="s">
        <v>174</v>
      </c>
      <c r="F64" s="66" t="s">
        <v>88</v>
      </c>
      <c r="G64" s="67">
        <v>42900</v>
      </c>
      <c r="H64" s="93">
        <v>13</v>
      </c>
      <c r="I64" s="94">
        <v>1598.4</v>
      </c>
      <c r="J64" s="68">
        <v>28</v>
      </c>
      <c r="K64" t="s">
        <v>28</v>
      </c>
    </row>
    <row r="65" spans="1:11">
      <c r="A65" s="66" t="s">
        <v>70</v>
      </c>
      <c r="B65" s="67">
        <v>42881</v>
      </c>
      <c r="C65" s="66" t="s">
        <v>234</v>
      </c>
      <c r="D65" s="66" t="s">
        <v>235</v>
      </c>
      <c r="E65" s="66" t="s">
        <v>93</v>
      </c>
      <c r="F65" s="66" t="s">
        <v>90</v>
      </c>
      <c r="G65" s="67">
        <v>42941</v>
      </c>
      <c r="H65" s="93"/>
      <c r="I65" s="94">
        <v>1032.48</v>
      </c>
      <c r="J65" s="68">
        <v>32</v>
      </c>
      <c r="K65" t="s">
        <v>9</v>
      </c>
    </row>
    <row r="66" spans="1:11">
      <c r="A66" s="66" t="s">
        <v>70</v>
      </c>
      <c r="B66" s="67">
        <v>42881</v>
      </c>
      <c r="C66" s="66" t="s">
        <v>236</v>
      </c>
      <c r="D66" s="66" t="s">
        <v>237</v>
      </c>
      <c r="E66" s="66" t="s">
        <v>89</v>
      </c>
      <c r="F66" s="66" t="s">
        <v>90</v>
      </c>
      <c r="G66" s="67">
        <v>42941</v>
      </c>
      <c r="H66" s="93"/>
      <c r="I66" s="94">
        <v>1462.68</v>
      </c>
      <c r="J66" s="68">
        <v>32</v>
      </c>
      <c r="K66" t="s">
        <v>9</v>
      </c>
    </row>
    <row r="67" spans="1:11">
      <c r="A67" s="66" t="s">
        <v>70</v>
      </c>
      <c r="B67" s="67">
        <v>42881</v>
      </c>
      <c r="C67" s="66" t="s">
        <v>238</v>
      </c>
      <c r="D67" s="66" t="s">
        <v>239</v>
      </c>
      <c r="E67" s="66" t="s">
        <v>91</v>
      </c>
      <c r="F67" s="66" t="s">
        <v>90</v>
      </c>
      <c r="G67" s="67">
        <v>42941</v>
      </c>
      <c r="H67" s="93"/>
      <c r="I67" s="95">
        <v>2007.6</v>
      </c>
      <c r="J67" s="68">
        <v>32</v>
      </c>
      <c r="K67" t="s">
        <v>9</v>
      </c>
    </row>
    <row r="68" spans="1:11">
      <c r="A68" s="66" t="s">
        <v>70</v>
      </c>
      <c r="B68" s="67">
        <v>42881</v>
      </c>
      <c r="C68" s="66" t="s">
        <v>240</v>
      </c>
      <c r="D68" s="66" t="s">
        <v>241</v>
      </c>
      <c r="E68" s="66" t="s">
        <v>92</v>
      </c>
      <c r="F68" s="66" t="s">
        <v>90</v>
      </c>
      <c r="G68" s="67">
        <v>42941</v>
      </c>
      <c r="H68" s="93"/>
      <c r="I68" s="94">
        <v>1806.84</v>
      </c>
      <c r="J68" s="68">
        <v>32</v>
      </c>
      <c r="K68" t="s">
        <v>9</v>
      </c>
    </row>
    <row r="69" spans="1:11">
      <c r="A69" s="66" t="s">
        <v>70</v>
      </c>
      <c r="B69" s="67">
        <v>42881</v>
      </c>
      <c r="C69" s="66" t="s">
        <v>232</v>
      </c>
      <c r="D69" s="66" t="s">
        <v>233</v>
      </c>
      <c r="E69" s="66" t="s">
        <v>61</v>
      </c>
      <c r="F69" s="66" t="s">
        <v>81</v>
      </c>
      <c r="G69" s="67">
        <v>42911</v>
      </c>
      <c r="H69" s="93">
        <v>2</v>
      </c>
      <c r="I69" s="94">
        <v>1290</v>
      </c>
      <c r="J69" s="68">
        <v>32</v>
      </c>
      <c r="K69" t="s">
        <v>9</v>
      </c>
    </row>
    <row r="70" spans="1:11">
      <c r="A70" s="66" t="s">
        <v>70</v>
      </c>
      <c r="B70" s="67">
        <v>42874</v>
      </c>
      <c r="C70" s="66" t="s">
        <v>242</v>
      </c>
      <c r="D70" s="66" t="s">
        <v>192</v>
      </c>
      <c r="E70" s="66" t="s">
        <v>135</v>
      </c>
      <c r="F70" s="66" t="s">
        <v>88</v>
      </c>
      <c r="G70" s="67">
        <v>42889</v>
      </c>
      <c r="H70" s="93">
        <v>24</v>
      </c>
      <c r="I70" s="94">
        <v>295.60000000000002</v>
      </c>
      <c r="J70" s="68">
        <v>39</v>
      </c>
      <c r="K70" t="s">
        <v>9</v>
      </c>
    </row>
    <row r="71" spans="1:11">
      <c r="A71" s="66" t="s">
        <v>70</v>
      </c>
      <c r="B71" s="67">
        <v>42874</v>
      </c>
      <c r="C71" s="66" t="s">
        <v>234</v>
      </c>
      <c r="D71" s="66" t="s">
        <v>243</v>
      </c>
      <c r="E71" s="66" t="s">
        <v>61</v>
      </c>
      <c r="F71" s="66" t="s">
        <v>81</v>
      </c>
      <c r="G71" s="67">
        <v>42904</v>
      </c>
      <c r="H71" s="93">
        <v>9</v>
      </c>
      <c r="I71" s="94">
        <v>540</v>
      </c>
      <c r="J71" s="68">
        <v>39</v>
      </c>
      <c r="K71" t="s">
        <v>9</v>
      </c>
    </row>
    <row r="72" spans="1:11">
      <c r="A72" s="66" t="s">
        <v>70</v>
      </c>
      <c r="B72" s="67">
        <v>42873</v>
      </c>
      <c r="C72" s="66" t="s">
        <v>264</v>
      </c>
      <c r="D72" s="66" t="s">
        <v>265</v>
      </c>
      <c r="E72" s="66" t="s">
        <v>175</v>
      </c>
      <c r="F72" s="66" t="s">
        <v>72</v>
      </c>
      <c r="G72" s="67">
        <v>42903</v>
      </c>
      <c r="H72" s="93">
        <v>10</v>
      </c>
      <c r="I72" s="94">
        <v>1347.84</v>
      </c>
      <c r="J72" s="68">
        <v>40</v>
      </c>
      <c r="K72" t="s">
        <v>9</v>
      </c>
    </row>
    <row r="73" spans="1:11">
      <c r="A73" s="66" t="s">
        <v>70</v>
      </c>
      <c r="B73" s="67">
        <v>42867</v>
      </c>
      <c r="C73" s="66" t="s">
        <v>377</v>
      </c>
      <c r="D73" s="66" t="s">
        <v>378</v>
      </c>
      <c r="E73" s="66" t="s">
        <v>75</v>
      </c>
      <c r="F73" s="66" t="s">
        <v>72</v>
      </c>
      <c r="G73" s="67">
        <v>42897</v>
      </c>
      <c r="H73" s="93">
        <v>16</v>
      </c>
      <c r="I73" s="94">
        <v>1248.48</v>
      </c>
      <c r="J73" s="68">
        <v>46</v>
      </c>
      <c r="K73" t="s">
        <v>9</v>
      </c>
    </row>
    <row r="74" spans="1:11">
      <c r="A74" s="66" t="s">
        <v>70</v>
      </c>
      <c r="B74" s="67">
        <v>42867</v>
      </c>
      <c r="C74" s="66" t="s">
        <v>319</v>
      </c>
      <c r="D74" s="66" t="s">
        <v>320</v>
      </c>
      <c r="E74" s="66" t="s">
        <v>174</v>
      </c>
      <c r="F74" s="66" t="s">
        <v>88</v>
      </c>
      <c r="G74" s="67">
        <v>42882</v>
      </c>
      <c r="H74" s="93">
        <v>31</v>
      </c>
      <c r="I74" s="94">
        <v>799.2</v>
      </c>
      <c r="J74" s="68">
        <v>46</v>
      </c>
      <c r="K74" t="s">
        <v>9</v>
      </c>
    </row>
    <row r="75" spans="1:11">
      <c r="A75" s="66" t="s">
        <v>70</v>
      </c>
      <c r="B75" s="67">
        <v>42865</v>
      </c>
      <c r="C75" s="66" t="s">
        <v>179</v>
      </c>
      <c r="D75" s="66" t="s">
        <v>180</v>
      </c>
      <c r="E75" s="66" t="s">
        <v>67</v>
      </c>
      <c r="F75" s="66" t="s">
        <v>80</v>
      </c>
      <c r="G75" s="67">
        <v>42910</v>
      </c>
      <c r="H75" s="93">
        <v>3</v>
      </c>
      <c r="I75" s="94">
        <v>10452.5</v>
      </c>
      <c r="J75" s="68">
        <v>48</v>
      </c>
      <c r="K75" t="s">
        <v>9</v>
      </c>
    </row>
    <row r="76" spans="1:11">
      <c r="A76" s="66" t="s">
        <v>70</v>
      </c>
      <c r="B76" s="67">
        <v>42863</v>
      </c>
      <c r="C76" s="66" t="s">
        <v>181</v>
      </c>
      <c r="D76" s="66" t="s">
        <v>182</v>
      </c>
      <c r="E76" s="66" t="s">
        <v>63</v>
      </c>
      <c r="F76" s="66" t="s">
        <v>81</v>
      </c>
      <c r="G76" s="67">
        <v>42893</v>
      </c>
      <c r="H76" s="93">
        <v>20</v>
      </c>
      <c r="I76" s="94">
        <v>6536.4</v>
      </c>
      <c r="J76" s="68">
        <v>50</v>
      </c>
      <c r="K76" t="s">
        <v>9</v>
      </c>
    </row>
    <row r="77" spans="1:11">
      <c r="A77" s="66" t="s">
        <v>70</v>
      </c>
      <c r="B77" s="67">
        <v>42860</v>
      </c>
      <c r="C77" s="66" t="s">
        <v>183</v>
      </c>
      <c r="D77" s="66" t="s">
        <v>183</v>
      </c>
      <c r="E77" s="66" t="s">
        <v>176</v>
      </c>
      <c r="F77" s="66" t="s">
        <v>88</v>
      </c>
      <c r="G77" s="67">
        <v>42875</v>
      </c>
      <c r="H77" s="93">
        <v>38</v>
      </c>
      <c r="I77" s="94">
        <v>123.76</v>
      </c>
      <c r="J77" s="68">
        <v>53</v>
      </c>
      <c r="K77" t="s">
        <v>9</v>
      </c>
    </row>
    <row r="78" spans="1:11">
      <c r="A78" s="66" t="s">
        <v>70</v>
      </c>
      <c r="B78" s="67">
        <v>42857</v>
      </c>
      <c r="C78" s="66" t="s">
        <v>139</v>
      </c>
      <c r="D78" s="66" t="s">
        <v>184</v>
      </c>
      <c r="E78" s="66" t="s">
        <v>89</v>
      </c>
      <c r="F78" s="66" t="s">
        <v>90</v>
      </c>
      <c r="G78" s="67">
        <v>42917</v>
      </c>
      <c r="H78" s="93"/>
      <c r="I78" s="94">
        <v>200.76</v>
      </c>
      <c r="J78" s="68">
        <v>56</v>
      </c>
      <c r="K78" t="s">
        <v>9</v>
      </c>
    </row>
    <row r="79" spans="1:11">
      <c r="A79" s="66" t="s">
        <v>70</v>
      </c>
      <c r="B79" s="67">
        <v>42857</v>
      </c>
      <c r="C79" s="66" t="s">
        <v>140</v>
      </c>
      <c r="D79" s="66" t="s">
        <v>185</v>
      </c>
      <c r="E79" s="66" t="s">
        <v>91</v>
      </c>
      <c r="F79" s="66" t="s">
        <v>90</v>
      </c>
      <c r="G79" s="67">
        <v>42917</v>
      </c>
      <c r="H79" s="93"/>
      <c r="I79" s="94">
        <v>114.72</v>
      </c>
      <c r="J79" s="68">
        <v>56</v>
      </c>
      <c r="K79" t="s">
        <v>9</v>
      </c>
    </row>
    <row r="80" spans="1:11">
      <c r="A80" s="66" t="s">
        <v>70</v>
      </c>
      <c r="B80" s="67">
        <v>42857</v>
      </c>
      <c r="C80" s="66" t="s">
        <v>141</v>
      </c>
      <c r="D80" s="66" t="s">
        <v>186</v>
      </c>
      <c r="E80" s="66" t="s">
        <v>92</v>
      </c>
      <c r="F80" s="66" t="s">
        <v>90</v>
      </c>
      <c r="G80" s="67">
        <v>42917</v>
      </c>
      <c r="H80" s="93"/>
      <c r="I80" s="95">
        <v>573.6</v>
      </c>
      <c r="J80" s="68">
        <v>56</v>
      </c>
      <c r="K80" t="s">
        <v>9</v>
      </c>
    </row>
    <row r="81" spans="1:11">
      <c r="A81" s="66" t="s">
        <v>70</v>
      </c>
      <c r="B81" s="67">
        <v>42856</v>
      </c>
      <c r="C81" s="66" t="s">
        <v>187</v>
      </c>
      <c r="D81" s="66" t="s">
        <v>188</v>
      </c>
      <c r="E81" s="66" t="s">
        <v>71</v>
      </c>
      <c r="F81" s="66" t="s">
        <v>72</v>
      </c>
      <c r="G81" s="67">
        <v>42886</v>
      </c>
      <c r="H81" s="93">
        <v>27</v>
      </c>
      <c r="I81" s="94">
        <v>1380.68</v>
      </c>
      <c r="J81" s="68">
        <v>57</v>
      </c>
      <c r="K81" t="s">
        <v>9</v>
      </c>
    </row>
    <row r="82" spans="1:11">
      <c r="A82" s="66" t="s">
        <v>70</v>
      </c>
      <c r="B82" s="67">
        <v>42856</v>
      </c>
      <c r="C82" s="66" t="s">
        <v>189</v>
      </c>
      <c r="D82" s="66" t="s">
        <v>190</v>
      </c>
      <c r="E82" s="66" t="s">
        <v>73</v>
      </c>
      <c r="F82" s="66" t="s">
        <v>72</v>
      </c>
      <c r="G82" s="67">
        <v>42886</v>
      </c>
      <c r="H82" s="93">
        <v>27</v>
      </c>
      <c r="I82" s="94">
        <v>4406.3999999999996</v>
      </c>
      <c r="J82" s="68">
        <v>57</v>
      </c>
      <c r="K82" t="s">
        <v>9</v>
      </c>
    </row>
    <row r="83" spans="1:11">
      <c r="A83" s="66" t="s">
        <v>70</v>
      </c>
      <c r="B83" s="67">
        <v>42853</v>
      </c>
      <c r="C83" s="66" t="s">
        <v>321</v>
      </c>
      <c r="D83" s="66" t="s">
        <v>322</v>
      </c>
      <c r="E83" s="66" t="s">
        <v>61</v>
      </c>
      <c r="F83" s="66" t="s">
        <v>81</v>
      </c>
      <c r="G83" s="67">
        <v>42883</v>
      </c>
      <c r="H83" s="93">
        <v>30</v>
      </c>
      <c r="I83" s="94">
        <v>270</v>
      </c>
      <c r="J83" s="68">
        <v>60</v>
      </c>
      <c r="K83" t="s">
        <v>9</v>
      </c>
    </row>
    <row r="84" spans="1:11">
      <c r="A84" s="66" t="s">
        <v>70</v>
      </c>
      <c r="B84" s="67">
        <v>42851</v>
      </c>
      <c r="C84" s="66" t="s">
        <v>191</v>
      </c>
      <c r="D84" s="66" t="s">
        <v>323</v>
      </c>
      <c r="E84" s="66" t="s">
        <v>61</v>
      </c>
      <c r="F84" s="66" t="s">
        <v>81</v>
      </c>
      <c r="G84" s="67">
        <v>42881</v>
      </c>
      <c r="H84" s="93">
        <v>32</v>
      </c>
      <c r="I84" s="94">
        <v>187.38</v>
      </c>
      <c r="J84" s="68">
        <v>62</v>
      </c>
      <c r="K84" t="s">
        <v>10</v>
      </c>
    </row>
    <row r="85" spans="1:11">
      <c r="A85" s="66" t="s">
        <v>70</v>
      </c>
      <c r="B85" s="67">
        <v>42846</v>
      </c>
      <c r="C85" s="66" t="s">
        <v>151</v>
      </c>
      <c r="D85" s="66" t="s">
        <v>244</v>
      </c>
      <c r="E85" s="66" t="s">
        <v>93</v>
      </c>
      <c r="F85" s="66" t="s">
        <v>90</v>
      </c>
      <c r="G85" s="67">
        <v>42906</v>
      </c>
      <c r="H85" s="93">
        <v>7</v>
      </c>
      <c r="I85" s="94">
        <v>86.04</v>
      </c>
      <c r="J85" s="68">
        <v>67</v>
      </c>
      <c r="K85" t="s">
        <v>10</v>
      </c>
    </row>
    <row r="86" spans="1:11">
      <c r="A86" s="66" t="s">
        <v>70</v>
      </c>
      <c r="B86" s="67">
        <v>42846</v>
      </c>
      <c r="C86" s="66" t="s">
        <v>152</v>
      </c>
      <c r="D86" s="66" t="s">
        <v>193</v>
      </c>
      <c r="E86" s="66" t="s">
        <v>89</v>
      </c>
      <c r="F86" s="66" t="s">
        <v>90</v>
      </c>
      <c r="G86" s="67">
        <v>42906</v>
      </c>
      <c r="H86" s="93">
        <v>7</v>
      </c>
      <c r="I86" s="94">
        <v>344.16</v>
      </c>
      <c r="J86" s="68">
        <v>67</v>
      </c>
      <c r="K86" t="s">
        <v>10</v>
      </c>
    </row>
    <row r="87" spans="1:11">
      <c r="A87" s="66" t="s">
        <v>70</v>
      </c>
      <c r="B87" s="67">
        <v>42846</v>
      </c>
      <c r="C87" s="66" t="s">
        <v>153</v>
      </c>
      <c r="D87" s="66" t="s">
        <v>194</v>
      </c>
      <c r="E87" s="66" t="s">
        <v>91</v>
      </c>
      <c r="F87" s="66" t="s">
        <v>90</v>
      </c>
      <c r="G87" s="67">
        <v>42906</v>
      </c>
      <c r="H87" s="93">
        <v>7</v>
      </c>
      <c r="I87" s="94">
        <v>200.76</v>
      </c>
      <c r="J87" s="68">
        <v>67</v>
      </c>
      <c r="K87" t="s">
        <v>10</v>
      </c>
    </row>
    <row r="88" spans="1:11">
      <c r="A88" s="66" t="s">
        <v>70</v>
      </c>
      <c r="B88" s="67">
        <v>42846</v>
      </c>
      <c r="C88" s="66" t="s">
        <v>154</v>
      </c>
      <c r="D88" s="66" t="s">
        <v>195</v>
      </c>
      <c r="E88" s="66" t="s">
        <v>92</v>
      </c>
      <c r="F88" s="66" t="s">
        <v>90</v>
      </c>
      <c r="G88" s="67">
        <v>42906</v>
      </c>
      <c r="H88" s="93">
        <v>7</v>
      </c>
      <c r="I88" s="94">
        <v>401.52</v>
      </c>
      <c r="J88" s="68">
        <v>67</v>
      </c>
      <c r="K88" t="s">
        <v>10</v>
      </c>
    </row>
    <row r="89" spans="1:11">
      <c r="A89" s="66" t="s">
        <v>70</v>
      </c>
      <c r="B89" s="67">
        <v>42846</v>
      </c>
      <c r="C89" s="66" t="s">
        <v>138</v>
      </c>
      <c r="D89" s="66" t="s">
        <v>196</v>
      </c>
      <c r="E89" s="66" t="s">
        <v>91</v>
      </c>
      <c r="F89" s="66" t="s">
        <v>90</v>
      </c>
      <c r="G89" s="67">
        <v>42906</v>
      </c>
      <c r="H89" s="93">
        <v>7</v>
      </c>
      <c r="I89" s="94">
        <v>315.48</v>
      </c>
      <c r="J89" s="68">
        <v>67</v>
      </c>
      <c r="K89" t="s">
        <v>10</v>
      </c>
    </row>
    <row r="90" spans="1:11">
      <c r="A90" s="66" t="s">
        <v>70</v>
      </c>
      <c r="B90" s="67">
        <v>42846</v>
      </c>
      <c r="C90" s="66" t="s">
        <v>142</v>
      </c>
      <c r="D90" s="66" t="s">
        <v>197</v>
      </c>
      <c r="E90" s="66" t="s">
        <v>92</v>
      </c>
      <c r="F90" s="66" t="s">
        <v>90</v>
      </c>
      <c r="G90" s="67">
        <v>42906</v>
      </c>
      <c r="H90" s="93">
        <v>7</v>
      </c>
      <c r="I90" s="94">
        <v>86.04</v>
      </c>
      <c r="J90" s="68">
        <v>67</v>
      </c>
      <c r="K90" t="s">
        <v>10</v>
      </c>
    </row>
    <row r="91" spans="1:11">
      <c r="A91" s="66" t="s">
        <v>70</v>
      </c>
      <c r="B91" s="67">
        <v>42844</v>
      </c>
      <c r="C91" s="66" t="s">
        <v>142</v>
      </c>
      <c r="D91" s="66" t="s">
        <v>143</v>
      </c>
      <c r="E91" s="66" t="s">
        <v>94</v>
      </c>
      <c r="F91" s="66" t="s">
        <v>72</v>
      </c>
      <c r="G91" s="67">
        <v>42874</v>
      </c>
      <c r="H91" s="93">
        <v>39</v>
      </c>
      <c r="I91" s="94">
        <v>2937.6</v>
      </c>
      <c r="J91" s="68">
        <v>69</v>
      </c>
      <c r="K91" t="s">
        <v>10</v>
      </c>
    </row>
    <row r="92" spans="1:11">
      <c r="A92" s="66" t="s">
        <v>70</v>
      </c>
      <c r="B92" s="67">
        <v>42842</v>
      </c>
      <c r="C92" s="66" t="s">
        <v>191</v>
      </c>
      <c r="D92" s="66" t="s">
        <v>198</v>
      </c>
      <c r="E92" s="66" t="s">
        <v>63</v>
      </c>
      <c r="F92" s="66" t="s">
        <v>81</v>
      </c>
      <c r="G92" s="67">
        <v>42872</v>
      </c>
      <c r="H92" s="93">
        <v>41</v>
      </c>
      <c r="I92" s="94">
        <v>371.9</v>
      </c>
      <c r="J92" s="68">
        <v>71</v>
      </c>
      <c r="K92" t="s">
        <v>10</v>
      </c>
    </row>
    <row r="93" spans="1:11">
      <c r="A93" s="66" t="s">
        <v>70</v>
      </c>
      <c r="B93" s="67">
        <v>42838</v>
      </c>
      <c r="C93" s="66" t="s">
        <v>149</v>
      </c>
      <c r="D93" s="66" t="s">
        <v>199</v>
      </c>
      <c r="E93" s="66" t="s">
        <v>89</v>
      </c>
      <c r="F93" s="66" t="s">
        <v>90</v>
      </c>
      <c r="G93" s="67">
        <v>42898</v>
      </c>
      <c r="H93" s="93">
        <v>15</v>
      </c>
      <c r="I93" s="94">
        <v>172.08</v>
      </c>
      <c r="J93" s="68">
        <v>75</v>
      </c>
      <c r="K93" t="s">
        <v>10</v>
      </c>
    </row>
    <row r="94" spans="1:11" ht="15.75" thickBot="1">
      <c r="A94" s="66" t="s">
        <v>70</v>
      </c>
      <c r="B94" s="67">
        <v>42838</v>
      </c>
      <c r="C94" s="66" t="s">
        <v>150</v>
      </c>
      <c r="D94" s="66" t="s">
        <v>200</v>
      </c>
      <c r="E94" s="66" t="s">
        <v>91</v>
      </c>
      <c r="F94" s="66" t="s">
        <v>90</v>
      </c>
      <c r="G94" s="67">
        <v>42898</v>
      </c>
      <c r="H94" s="93">
        <v>15</v>
      </c>
      <c r="I94" s="96">
        <v>229.44</v>
      </c>
      <c r="J94" s="68">
        <v>75</v>
      </c>
      <c r="K94" t="s">
        <v>10</v>
      </c>
    </row>
    <row r="95" spans="1:11">
      <c r="A95" s="66" t="s">
        <v>70</v>
      </c>
      <c r="B95" s="67">
        <v>42838</v>
      </c>
      <c r="C95" s="66" t="s">
        <v>148</v>
      </c>
      <c r="D95" s="66" t="s">
        <v>201</v>
      </c>
      <c r="E95" s="66" t="s">
        <v>92</v>
      </c>
      <c r="F95" s="66" t="s">
        <v>90</v>
      </c>
      <c r="G95" s="67">
        <v>42898</v>
      </c>
      <c r="H95" s="93">
        <v>15</v>
      </c>
      <c r="I95" s="94">
        <v>258.12</v>
      </c>
      <c r="J95" s="68">
        <v>75</v>
      </c>
      <c r="K95" t="s">
        <v>10</v>
      </c>
    </row>
    <row r="96" spans="1:11">
      <c r="A96" s="66" t="s">
        <v>70</v>
      </c>
      <c r="B96" s="67">
        <v>42836</v>
      </c>
      <c r="C96" s="66" t="s">
        <v>155</v>
      </c>
      <c r="D96" s="66" t="s">
        <v>202</v>
      </c>
      <c r="E96" s="66" t="s">
        <v>93</v>
      </c>
      <c r="F96" s="66" t="s">
        <v>90</v>
      </c>
      <c r="G96" s="67">
        <v>42896</v>
      </c>
      <c r="H96" s="93">
        <v>17</v>
      </c>
      <c r="I96" s="94">
        <v>57.36</v>
      </c>
      <c r="J96" s="68">
        <v>77</v>
      </c>
      <c r="K96" t="s">
        <v>10</v>
      </c>
    </row>
    <row r="97" spans="1:11">
      <c r="A97" s="66" t="s">
        <v>70</v>
      </c>
      <c r="B97" s="67">
        <v>42836</v>
      </c>
      <c r="C97" s="66" t="s">
        <v>144</v>
      </c>
      <c r="D97" s="66" t="s">
        <v>203</v>
      </c>
      <c r="E97" s="66" t="s">
        <v>89</v>
      </c>
      <c r="F97" s="66" t="s">
        <v>90</v>
      </c>
      <c r="G97" s="67">
        <v>42896</v>
      </c>
      <c r="H97" s="93">
        <v>17</v>
      </c>
      <c r="I97" s="94">
        <v>315.48</v>
      </c>
      <c r="J97" s="68">
        <v>77</v>
      </c>
      <c r="K97" t="s">
        <v>10</v>
      </c>
    </row>
    <row r="98" spans="1:11">
      <c r="A98" s="66" t="s">
        <v>70</v>
      </c>
      <c r="B98" s="67">
        <v>42836</v>
      </c>
      <c r="C98" s="66" t="s">
        <v>145</v>
      </c>
      <c r="D98" s="66" t="s">
        <v>204</v>
      </c>
      <c r="E98" s="66" t="s">
        <v>91</v>
      </c>
      <c r="F98" s="66" t="s">
        <v>90</v>
      </c>
      <c r="G98" s="67">
        <v>42896</v>
      </c>
      <c r="H98" s="93">
        <v>17</v>
      </c>
      <c r="I98" s="94">
        <v>258.12</v>
      </c>
      <c r="J98" s="68">
        <v>77</v>
      </c>
      <c r="K98" t="s">
        <v>10</v>
      </c>
    </row>
    <row r="99" spans="1:11" ht="15.75" thickBot="1">
      <c r="A99" s="66" t="s">
        <v>70</v>
      </c>
      <c r="B99" s="67">
        <v>42836</v>
      </c>
      <c r="C99" s="66" t="s">
        <v>146</v>
      </c>
      <c r="D99" s="66" t="s">
        <v>205</v>
      </c>
      <c r="E99" s="66" t="s">
        <v>92</v>
      </c>
      <c r="F99" s="66" t="s">
        <v>90</v>
      </c>
      <c r="G99" s="67">
        <v>42896</v>
      </c>
      <c r="H99" s="93">
        <v>17</v>
      </c>
      <c r="I99" s="96">
        <v>200.76</v>
      </c>
      <c r="J99" s="68">
        <v>77</v>
      </c>
      <c r="K99" t="s">
        <v>10</v>
      </c>
    </row>
    <row r="100" spans="1:11">
      <c r="A100" s="66" t="s">
        <v>70</v>
      </c>
      <c r="B100" s="67">
        <v>42829</v>
      </c>
      <c r="C100" s="66" t="s">
        <v>206</v>
      </c>
      <c r="D100" s="66" t="s">
        <v>207</v>
      </c>
      <c r="E100" s="66" t="s">
        <v>93</v>
      </c>
      <c r="F100" s="66" t="s">
        <v>90</v>
      </c>
      <c r="G100" s="67">
        <v>42889</v>
      </c>
      <c r="H100" s="93">
        <v>24</v>
      </c>
      <c r="I100" s="94">
        <v>114.72</v>
      </c>
      <c r="J100" s="68">
        <v>84</v>
      </c>
      <c r="K100" t="s">
        <v>10</v>
      </c>
    </row>
    <row r="101" spans="1:11">
      <c r="A101" s="66" t="s">
        <v>70</v>
      </c>
      <c r="B101" s="67">
        <v>42829</v>
      </c>
      <c r="C101" s="66" t="s">
        <v>169</v>
      </c>
      <c r="D101" s="66" t="s">
        <v>208</v>
      </c>
      <c r="E101" s="66" t="s">
        <v>89</v>
      </c>
      <c r="F101" s="66" t="s">
        <v>90</v>
      </c>
      <c r="G101" s="67">
        <v>42889</v>
      </c>
      <c r="H101" s="93">
        <v>24</v>
      </c>
      <c r="I101" s="95">
        <v>573.6</v>
      </c>
      <c r="J101" s="68">
        <v>84</v>
      </c>
      <c r="K101" t="s">
        <v>10</v>
      </c>
    </row>
    <row r="102" spans="1:11" ht="15.75" thickBot="1">
      <c r="A102" s="66" t="s">
        <v>70</v>
      </c>
      <c r="B102" s="67">
        <v>42829</v>
      </c>
      <c r="C102" s="66" t="s">
        <v>157</v>
      </c>
      <c r="D102" s="66" t="s">
        <v>209</v>
      </c>
      <c r="E102" s="66" t="s">
        <v>91</v>
      </c>
      <c r="F102" s="66" t="s">
        <v>90</v>
      </c>
      <c r="G102" s="67">
        <v>42889</v>
      </c>
      <c r="H102" s="93">
        <v>24</v>
      </c>
      <c r="I102" s="96">
        <v>200.76</v>
      </c>
      <c r="J102" s="68">
        <v>84</v>
      </c>
      <c r="K102" t="s">
        <v>10</v>
      </c>
    </row>
    <row r="103" spans="1:11">
      <c r="A103" s="66" t="s">
        <v>70</v>
      </c>
      <c r="B103" s="67">
        <v>42829</v>
      </c>
      <c r="C103" s="66" t="s">
        <v>158</v>
      </c>
      <c r="D103" s="66" t="s">
        <v>210</v>
      </c>
      <c r="E103" s="66" t="s">
        <v>92</v>
      </c>
      <c r="F103" s="66" t="s">
        <v>90</v>
      </c>
      <c r="G103" s="67">
        <v>42889</v>
      </c>
      <c r="H103" s="93">
        <v>24</v>
      </c>
      <c r="I103" s="94">
        <v>401.52</v>
      </c>
      <c r="J103" s="68">
        <v>84</v>
      </c>
      <c r="K103" t="s">
        <v>10</v>
      </c>
    </row>
    <row r="104" spans="1:11">
      <c r="A104" s="66" t="s">
        <v>70</v>
      </c>
      <c r="B104" s="67">
        <v>42828</v>
      </c>
      <c r="C104" s="66" t="s">
        <v>156</v>
      </c>
      <c r="D104" s="66" t="s">
        <v>77</v>
      </c>
      <c r="E104" s="66" t="s">
        <v>76</v>
      </c>
      <c r="F104" s="66" t="s">
        <v>72</v>
      </c>
      <c r="G104" s="67">
        <v>42858</v>
      </c>
      <c r="H104" s="93">
        <v>55</v>
      </c>
      <c r="I104" s="94">
        <v>1248.48</v>
      </c>
      <c r="J104" s="68">
        <v>85</v>
      </c>
      <c r="K104" t="s">
        <v>10</v>
      </c>
    </row>
    <row r="105" spans="1:11">
      <c r="A105" s="66" t="s">
        <v>70</v>
      </c>
      <c r="B105" s="67">
        <v>42828</v>
      </c>
      <c r="C105" s="66" t="s">
        <v>159</v>
      </c>
      <c r="D105" s="66" t="s">
        <v>160</v>
      </c>
      <c r="E105" s="66" t="s">
        <v>95</v>
      </c>
      <c r="F105" s="66" t="s">
        <v>72</v>
      </c>
      <c r="G105" s="67">
        <v>42858</v>
      </c>
      <c r="H105" s="93">
        <v>55</v>
      </c>
      <c r="I105" s="94">
        <v>1101.5999999999999</v>
      </c>
      <c r="J105" s="68">
        <v>85</v>
      </c>
      <c r="K105" t="s">
        <v>10</v>
      </c>
    </row>
    <row r="106" spans="1:11">
      <c r="A106" s="66" t="s">
        <v>245</v>
      </c>
      <c r="B106" s="67">
        <v>42826</v>
      </c>
      <c r="C106" s="66" t="s">
        <v>246</v>
      </c>
      <c r="D106" s="66"/>
      <c r="E106" s="66" t="s">
        <v>247</v>
      </c>
      <c r="F106" s="66"/>
      <c r="G106" s="67"/>
      <c r="H106" s="93"/>
      <c r="I106" s="94">
        <v>-372.84</v>
      </c>
      <c r="J106" s="68">
        <v>87</v>
      </c>
      <c r="K106" t="s">
        <v>10</v>
      </c>
    </row>
    <row r="107" spans="1:11">
      <c r="A107" s="66" t="s">
        <v>70</v>
      </c>
      <c r="B107" s="67">
        <v>42825</v>
      </c>
      <c r="C107" s="66" t="s">
        <v>161</v>
      </c>
      <c r="D107" s="66" t="s">
        <v>162</v>
      </c>
      <c r="E107" s="66" t="s">
        <v>93</v>
      </c>
      <c r="F107" s="66" t="s">
        <v>90</v>
      </c>
      <c r="G107" s="67">
        <v>42885</v>
      </c>
      <c r="H107" s="93">
        <v>28</v>
      </c>
      <c r="I107" s="94">
        <v>143.4</v>
      </c>
      <c r="J107" s="68">
        <v>88</v>
      </c>
      <c r="K107" t="s">
        <v>10</v>
      </c>
    </row>
    <row r="108" spans="1:11">
      <c r="A108" s="66" t="s">
        <v>70</v>
      </c>
      <c r="B108" s="67">
        <v>42825</v>
      </c>
      <c r="C108" s="66" t="s">
        <v>163</v>
      </c>
      <c r="D108" s="66" t="s">
        <v>164</v>
      </c>
      <c r="E108" s="66" t="s">
        <v>89</v>
      </c>
      <c r="F108" s="66" t="s">
        <v>90</v>
      </c>
      <c r="G108" s="67">
        <v>42885</v>
      </c>
      <c r="H108" s="93">
        <v>28</v>
      </c>
      <c r="I108" s="94">
        <v>430.2</v>
      </c>
      <c r="J108" s="68">
        <v>88</v>
      </c>
      <c r="K108" t="s">
        <v>10</v>
      </c>
    </row>
    <row r="109" spans="1:11">
      <c r="A109" s="66" t="s">
        <v>70</v>
      </c>
      <c r="B109" s="67">
        <v>42825</v>
      </c>
      <c r="C109" s="66" t="s">
        <v>165</v>
      </c>
      <c r="D109" s="66" t="s">
        <v>166</v>
      </c>
      <c r="E109" s="66" t="s">
        <v>91</v>
      </c>
      <c r="F109" s="66" t="s">
        <v>90</v>
      </c>
      <c r="G109" s="67">
        <v>42885</v>
      </c>
      <c r="H109" s="93">
        <v>28</v>
      </c>
      <c r="I109" s="94">
        <v>143.4</v>
      </c>
      <c r="J109" s="68">
        <v>88</v>
      </c>
      <c r="K109" t="s">
        <v>10</v>
      </c>
    </row>
    <row r="110" spans="1:11">
      <c r="A110" s="62" t="s">
        <v>70</v>
      </c>
      <c r="B110" s="62">
        <v>42825</v>
      </c>
      <c r="C110" s="62" t="s">
        <v>167</v>
      </c>
      <c r="D110" s="62" t="s">
        <v>168</v>
      </c>
      <c r="E110" s="62" t="s">
        <v>92</v>
      </c>
      <c r="F110" s="62" t="s">
        <v>90</v>
      </c>
      <c r="G110" s="62">
        <v>42885</v>
      </c>
      <c r="H110" s="62">
        <v>28</v>
      </c>
      <c r="I110" s="62">
        <v>573.6</v>
      </c>
      <c r="J110">
        <v>88</v>
      </c>
      <c r="K110" t="s">
        <v>10</v>
      </c>
    </row>
    <row r="111" spans="1:11">
      <c r="A111" s="62" t="s">
        <v>70</v>
      </c>
      <c r="B111" s="62">
        <v>42816</v>
      </c>
      <c r="C111" s="62" t="s">
        <v>170</v>
      </c>
      <c r="D111" s="62" t="s">
        <v>170</v>
      </c>
      <c r="E111" s="62" t="s">
        <v>66</v>
      </c>
      <c r="F111" s="62" t="s">
        <v>88</v>
      </c>
      <c r="G111" s="62">
        <v>42831</v>
      </c>
      <c r="H111" s="62">
        <v>82</v>
      </c>
      <c r="I111" s="62">
        <v>311.77</v>
      </c>
      <c r="J111">
        <v>97</v>
      </c>
      <c r="K111" t="s">
        <v>22</v>
      </c>
    </row>
    <row r="112" spans="1:11">
      <c r="A112" s="62" t="s">
        <v>70</v>
      </c>
      <c r="B112" s="62">
        <v>42794</v>
      </c>
      <c r="C112" s="62" t="s">
        <v>379</v>
      </c>
      <c r="D112" s="62" t="s">
        <v>380</v>
      </c>
      <c r="E112" s="62" t="s">
        <v>91</v>
      </c>
      <c r="F112" s="62" t="s">
        <v>90</v>
      </c>
      <c r="G112" s="62">
        <v>42854</v>
      </c>
      <c r="H112" s="62">
        <v>59</v>
      </c>
      <c r="I112" s="62">
        <v>315.48</v>
      </c>
      <c r="J112">
        <v>119</v>
      </c>
      <c r="K112" t="s">
        <v>22</v>
      </c>
    </row>
    <row r="113" spans="1:11">
      <c r="A113" s="62" t="s">
        <v>70</v>
      </c>
      <c r="B113" s="62">
        <v>42786</v>
      </c>
      <c r="C113" s="62" t="s">
        <v>96</v>
      </c>
      <c r="D113" s="62" t="s">
        <v>248</v>
      </c>
      <c r="E113" s="62" t="s">
        <v>79</v>
      </c>
      <c r="F113" s="62" t="s">
        <v>72</v>
      </c>
      <c r="G113" s="62">
        <v>42816</v>
      </c>
      <c r="H113" s="62">
        <v>97</v>
      </c>
      <c r="I113" s="62">
        <v>1248.48</v>
      </c>
      <c r="J113">
        <v>127</v>
      </c>
      <c r="K113" t="s">
        <v>22</v>
      </c>
    </row>
    <row r="114" spans="1:11">
      <c r="A114" s="62" t="s">
        <v>245</v>
      </c>
      <c r="B114" s="62">
        <v>42783</v>
      </c>
      <c r="C114" s="62" t="s">
        <v>381</v>
      </c>
      <c r="E114" s="62" t="s">
        <v>364</v>
      </c>
      <c r="I114" s="62">
        <v>-332.32</v>
      </c>
      <c r="J114">
        <v>130</v>
      </c>
      <c r="K114" t="s">
        <v>22</v>
      </c>
    </row>
    <row r="115" spans="1:11">
      <c r="A115" s="62" t="s">
        <v>70</v>
      </c>
      <c r="B115" s="62">
        <v>42783</v>
      </c>
      <c r="C115" s="62" t="s">
        <v>97</v>
      </c>
      <c r="D115" s="62" t="s">
        <v>98</v>
      </c>
      <c r="E115" s="62" t="s">
        <v>94</v>
      </c>
      <c r="F115" s="62" t="s">
        <v>72</v>
      </c>
      <c r="G115" s="62">
        <v>42813</v>
      </c>
      <c r="H115" s="62">
        <v>100</v>
      </c>
      <c r="I115" s="62">
        <v>675.29</v>
      </c>
      <c r="J115">
        <v>130</v>
      </c>
      <c r="K115" t="s">
        <v>22</v>
      </c>
    </row>
    <row r="116" spans="1:11">
      <c r="A116" s="62" t="s">
        <v>70</v>
      </c>
      <c r="B116" s="62">
        <v>42783</v>
      </c>
      <c r="C116" s="62" t="s">
        <v>99</v>
      </c>
      <c r="D116" s="62" t="s">
        <v>100</v>
      </c>
      <c r="E116" s="62" t="s">
        <v>94</v>
      </c>
      <c r="F116" s="62" t="s">
        <v>72</v>
      </c>
      <c r="G116" s="62">
        <v>42813</v>
      </c>
      <c r="H116" s="62">
        <v>100</v>
      </c>
      <c r="I116" s="62">
        <v>2878.85</v>
      </c>
      <c r="J116">
        <v>130</v>
      </c>
      <c r="K116" t="s">
        <v>22</v>
      </c>
    </row>
    <row r="117" spans="1:11">
      <c r="A117" s="62" t="s">
        <v>70</v>
      </c>
      <c r="B117" s="62">
        <v>42767</v>
      </c>
      <c r="C117" s="62" t="s">
        <v>101</v>
      </c>
      <c r="D117" s="62" t="s">
        <v>102</v>
      </c>
      <c r="E117" s="62" t="s">
        <v>93</v>
      </c>
      <c r="F117" s="62" t="s">
        <v>90</v>
      </c>
      <c r="G117" s="62">
        <v>42827</v>
      </c>
      <c r="H117" s="62">
        <v>86</v>
      </c>
      <c r="I117" s="62">
        <v>28.68</v>
      </c>
      <c r="J117">
        <v>146</v>
      </c>
      <c r="K117" t="s">
        <v>22</v>
      </c>
    </row>
    <row r="118" spans="1:11">
      <c r="A118" s="62" t="s">
        <v>70</v>
      </c>
      <c r="B118" s="62">
        <v>42767</v>
      </c>
      <c r="C118" s="62" t="s">
        <v>249</v>
      </c>
      <c r="D118" s="62" t="s">
        <v>250</v>
      </c>
      <c r="E118" s="62" t="s">
        <v>63</v>
      </c>
      <c r="F118" s="62" t="s">
        <v>81</v>
      </c>
      <c r="G118" s="62">
        <v>42797</v>
      </c>
      <c r="H118" s="62">
        <v>116</v>
      </c>
      <c r="I118" s="62">
        <v>294.48</v>
      </c>
      <c r="J118">
        <v>146</v>
      </c>
      <c r="K118" t="s">
        <v>22</v>
      </c>
    </row>
    <row r="119" spans="1:11">
      <c r="A119" s="62" t="s">
        <v>70</v>
      </c>
      <c r="B119" s="62">
        <v>42746</v>
      </c>
      <c r="C119" s="62" t="s">
        <v>251</v>
      </c>
      <c r="D119" s="62" t="s">
        <v>252</v>
      </c>
      <c r="E119" s="62" t="s">
        <v>82</v>
      </c>
      <c r="F119" s="62" t="s">
        <v>72</v>
      </c>
      <c r="G119" s="62">
        <v>42776</v>
      </c>
      <c r="H119" s="62">
        <v>137</v>
      </c>
      <c r="I119" s="62">
        <v>88.13</v>
      </c>
      <c r="J119">
        <v>167</v>
      </c>
      <c r="K119" t="s">
        <v>22</v>
      </c>
    </row>
    <row r="120" spans="1:11">
      <c r="A120" s="62" t="s">
        <v>70</v>
      </c>
      <c r="B120" s="62">
        <v>42746</v>
      </c>
      <c r="C120" s="62" t="s">
        <v>103</v>
      </c>
      <c r="D120" s="62" t="s">
        <v>104</v>
      </c>
      <c r="E120" s="62" t="s">
        <v>92</v>
      </c>
      <c r="F120" s="62" t="s">
        <v>90</v>
      </c>
      <c r="G120" s="62">
        <v>42806</v>
      </c>
      <c r="H120" s="62">
        <v>107</v>
      </c>
      <c r="I120" s="62">
        <v>229.44</v>
      </c>
      <c r="J120">
        <v>167</v>
      </c>
      <c r="K120" t="s">
        <v>22</v>
      </c>
    </row>
    <row r="121" spans="1:11">
      <c r="A121" s="62" t="s">
        <v>70</v>
      </c>
      <c r="B121" s="62">
        <v>42741</v>
      </c>
      <c r="C121" s="62" t="s">
        <v>105</v>
      </c>
      <c r="D121" s="62" t="s">
        <v>106</v>
      </c>
      <c r="E121" s="62" t="s">
        <v>92</v>
      </c>
      <c r="F121" s="62" t="s">
        <v>90</v>
      </c>
      <c r="G121" s="62">
        <v>42801</v>
      </c>
      <c r="H121" s="62">
        <v>112</v>
      </c>
      <c r="I121" s="62">
        <v>1147.2</v>
      </c>
      <c r="J121">
        <v>172</v>
      </c>
      <c r="K121" t="s">
        <v>22</v>
      </c>
    </row>
  </sheetData>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autoPict="0" r:id="rId4">
            <anchor moveWithCells="1">
              <from>
                <xdr:col>10</xdr:col>
                <xdr:colOff>561975</xdr:colOff>
                <xdr:row>4</xdr:row>
                <xdr:rowOff>9525</xdr:rowOff>
              </from>
              <to>
                <xdr:col>14</xdr:col>
                <xdr:colOff>0</xdr:colOff>
                <xdr:row>6</xdr:row>
                <xdr:rowOff>57150</xdr:rowOff>
              </to>
            </anchor>
          </controlPr>
        </control>
      </mc:Choice>
      <mc:Fallback>
        <control shapeId="2049"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A9" sqref="A9"/>
    </sheetView>
  </sheetViews>
  <sheetFormatPr defaultColWidth="8.85546875" defaultRowHeight="15"/>
  <cols>
    <col min="1" max="1" width="32.140625" style="72" customWidth="1"/>
    <col min="2" max="6" width="7.85546875" style="62" customWidth="1"/>
    <col min="7" max="7" width="8.7109375" style="62" customWidth="1"/>
  </cols>
  <sheetData>
    <row r="1" spans="1:7" s="61" customFormat="1" ht="15.75" thickBot="1">
      <c r="A1" s="69" t="s">
        <v>211</v>
      </c>
      <c r="B1" s="65" t="s">
        <v>108</v>
      </c>
      <c r="C1" s="65" t="s">
        <v>109</v>
      </c>
      <c r="D1" s="65" t="s">
        <v>110</v>
      </c>
      <c r="E1" s="65" t="s">
        <v>111</v>
      </c>
      <c r="F1" s="65" t="s">
        <v>112</v>
      </c>
      <c r="G1" s="65" t="s">
        <v>113</v>
      </c>
    </row>
    <row r="2" spans="1:7" ht="15.75" thickTop="1">
      <c r="A2" s="70" t="s">
        <v>118</v>
      </c>
      <c r="B2" s="94">
        <v>8942.4</v>
      </c>
      <c r="C2" s="94">
        <v>8942.4</v>
      </c>
      <c r="D2" s="94">
        <v>13413.6</v>
      </c>
      <c r="E2" s="94">
        <v>0</v>
      </c>
      <c r="F2" s="94">
        <v>0</v>
      </c>
      <c r="G2" s="94">
        <f t="shared" ref="G2:G38" si="0">ROUND(SUM(B2:F2),5)</f>
        <v>31298.400000000001</v>
      </c>
    </row>
    <row r="3" spans="1:7">
      <c r="A3" s="70" t="s">
        <v>129</v>
      </c>
      <c r="B3" s="94">
        <v>30443.5</v>
      </c>
      <c r="C3" s="94">
        <v>0</v>
      </c>
      <c r="D3" s="94">
        <v>0</v>
      </c>
      <c r="E3" s="94">
        <v>0</v>
      </c>
      <c r="F3" s="94">
        <v>0</v>
      </c>
      <c r="G3" s="94">
        <f t="shared" si="0"/>
        <v>30443.5</v>
      </c>
    </row>
    <row r="4" spans="1:7">
      <c r="A4" s="70" t="s">
        <v>120</v>
      </c>
      <c r="B4" s="94">
        <v>8132.83</v>
      </c>
      <c r="C4" s="94">
        <v>14643.72</v>
      </c>
      <c r="D4" s="94">
        <v>0</v>
      </c>
      <c r="E4" s="94">
        <v>0</v>
      </c>
      <c r="F4" s="94">
        <v>0</v>
      </c>
      <c r="G4" s="94">
        <f t="shared" si="0"/>
        <v>22776.55</v>
      </c>
    </row>
    <row r="5" spans="1:7">
      <c r="A5" s="70" t="s">
        <v>212</v>
      </c>
      <c r="B5" s="95">
        <v>10076</v>
      </c>
      <c r="C5" s="95">
        <v>11640.4</v>
      </c>
      <c r="D5" s="95">
        <v>0</v>
      </c>
      <c r="E5" s="95">
        <v>0</v>
      </c>
      <c r="F5" s="95">
        <v>0</v>
      </c>
      <c r="G5" s="95">
        <f t="shared" si="0"/>
        <v>21716.400000000001</v>
      </c>
    </row>
    <row r="6" spans="1:7">
      <c r="A6" s="70" t="s">
        <v>134</v>
      </c>
      <c r="B6" s="94">
        <v>0</v>
      </c>
      <c r="C6" s="94">
        <v>0</v>
      </c>
      <c r="D6" s="94">
        <v>0</v>
      </c>
      <c r="E6" s="94">
        <v>0</v>
      </c>
      <c r="F6" s="94">
        <v>17323.77</v>
      </c>
      <c r="G6" s="94">
        <f t="shared" si="0"/>
        <v>17323.77</v>
      </c>
    </row>
    <row r="7" spans="1:7">
      <c r="A7" s="70" t="s">
        <v>253</v>
      </c>
      <c r="B7" s="94">
        <v>14850</v>
      </c>
      <c r="C7" s="94">
        <v>0</v>
      </c>
      <c r="D7" s="94">
        <v>0</v>
      </c>
      <c r="E7" s="94">
        <v>0</v>
      </c>
      <c r="F7" s="94">
        <v>0</v>
      </c>
      <c r="G7" s="94">
        <f t="shared" si="0"/>
        <v>14850</v>
      </c>
    </row>
    <row r="8" spans="1:7">
      <c r="A8" s="70" t="s">
        <v>324</v>
      </c>
      <c r="B8" s="94">
        <v>0</v>
      </c>
      <c r="C8" s="94">
        <v>14664.22</v>
      </c>
      <c r="D8" s="94">
        <v>0</v>
      </c>
      <c r="E8" s="94">
        <v>0</v>
      </c>
      <c r="F8" s="94">
        <v>0</v>
      </c>
      <c r="G8" s="94">
        <f t="shared" si="0"/>
        <v>14664.22</v>
      </c>
    </row>
    <row r="9" spans="1:7">
      <c r="A9" s="70" t="s">
        <v>132</v>
      </c>
      <c r="B9" s="94">
        <v>4360</v>
      </c>
      <c r="C9" s="94">
        <v>8040</v>
      </c>
      <c r="D9" s="94">
        <v>0</v>
      </c>
      <c r="E9" s="94">
        <v>0</v>
      </c>
      <c r="F9" s="94">
        <v>0</v>
      </c>
      <c r="G9" s="94">
        <f t="shared" si="0"/>
        <v>12400</v>
      </c>
    </row>
    <row r="10" spans="1:7">
      <c r="A10" s="70" t="s">
        <v>325</v>
      </c>
      <c r="B10" s="94">
        <v>0</v>
      </c>
      <c r="C10" s="94">
        <v>12360.54</v>
      </c>
      <c r="D10" s="94">
        <v>0</v>
      </c>
      <c r="E10" s="94">
        <v>0</v>
      </c>
      <c r="F10" s="94">
        <v>0</v>
      </c>
      <c r="G10" s="94">
        <f t="shared" si="0"/>
        <v>12360.54</v>
      </c>
    </row>
    <row r="11" spans="1:7">
      <c r="A11" s="70" t="s">
        <v>125</v>
      </c>
      <c r="B11" s="94">
        <v>0</v>
      </c>
      <c r="C11" s="94">
        <v>2538.83</v>
      </c>
      <c r="D11" s="94">
        <v>5077.66</v>
      </c>
      <c r="E11" s="94">
        <v>2538.83</v>
      </c>
      <c r="F11" s="94">
        <v>0</v>
      </c>
      <c r="G11" s="94">
        <f t="shared" si="0"/>
        <v>10155.32</v>
      </c>
    </row>
    <row r="12" spans="1:7">
      <c r="A12" s="70" t="s">
        <v>126</v>
      </c>
      <c r="B12" s="94">
        <v>0</v>
      </c>
      <c r="C12" s="94">
        <v>0</v>
      </c>
      <c r="D12" s="94">
        <v>0</v>
      </c>
      <c r="E12" s="94">
        <v>0</v>
      </c>
      <c r="F12" s="94">
        <v>9041.7000000000007</v>
      </c>
      <c r="G12" s="94">
        <f t="shared" si="0"/>
        <v>9041.7000000000007</v>
      </c>
    </row>
    <row r="13" spans="1:7">
      <c r="A13" s="70" t="s">
        <v>117</v>
      </c>
      <c r="B13" s="94">
        <v>0</v>
      </c>
      <c r="C13" s="94">
        <v>0</v>
      </c>
      <c r="D13" s="94">
        <v>2010</v>
      </c>
      <c r="E13" s="94">
        <v>2100</v>
      </c>
      <c r="F13" s="94">
        <v>4665</v>
      </c>
      <c r="G13" s="94">
        <f t="shared" si="0"/>
        <v>8775</v>
      </c>
    </row>
    <row r="14" spans="1:7">
      <c r="A14" s="70" t="s">
        <v>122</v>
      </c>
      <c r="B14" s="94">
        <v>0</v>
      </c>
      <c r="C14" s="94">
        <v>0</v>
      </c>
      <c r="D14" s="94">
        <v>0</v>
      </c>
      <c r="E14" s="94">
        <v>8686.66</v>
      </c>
      <c r="F14" s="94">
        <v>0</v>
      </c>
      <c r="G14" s="94">
        <f t="shared" si="0"/>
        <v>8686.66</v>
      </c>
    </row>
    <row r="15" spans="1:7">
      <c r="A15" s="70" t="s">
        <v>123</v>
      </c>
      <c r="B15" s="94">
        <v>0</v>
      </c>
      <c r="C15" s="94">
        <v>0</v>
      </c>
      <c r="D15" s="94">
        <v>0</v>
      </c>
      <c r="E15" s="94">
        <v>0</v>
      </c>
      <c r="F15" s="94">
        <v>7959</v>
      </c>
      <c r="G15" s="94">
        <f t="shared" si="0"/>
        <v>7959</v>
      </c>
    </row>
    <row r="16" spans="1:7">
      <c r="A16" s="70" t="s">
        <v>127</v>
      </c>
      <c r="B16" s="94">
        <v>0</v>
      </c>
      <c r="C16" s="94">
        <v>1115</v>
      </c>
      <c r="D16" s="94">
        <v>5798</v>
      </c>
      <c r="E16" s="94">
        <v>0</v>
      </c>
      <c r="F16" s="94">
        <v>0</v>
      </c>
      <c r="G16" s="94">
        <f t="shared" si="0"/>
        <v>6913</v>
      </c>
    </row>
    <row r="17" spans="1:7">
      <c r="A17" s="70" t="s">
        <v>215</v>
      </c>
      <c r="B17" s="94">
        <v>1385.06</v>
      </c>
      <c r="C17" s="94">
        <v>1675.53</v>
      </c>
      <c r="D17" s="94">
        <v>0</v>
      </c>
      <c r="E17" s="94">
        <v>1814.22</v>
      </c>
      <c r="F17" s="94">
        <v>0</v>
      </c>
      <c r="G17" s="94">
        <f t="shared" si="0"/>
        <v>4874.8100000000004</v>
      </c>
    </row>
    <row r="18" spans="1:7">
      <c r="A18" s="70" t="s">
        <v>213</v>
      </c>
      <c r="B18" s="94">
        <v>0</v>
      </c>
      <c r="C18" s="94">
        <v>0</v>
      </c>
      <c r="D18" s="94">
        <v>4737.5</v>
      </c>
      <c r="E18" s="94">
        <v>0</v>
      </c>
      <c r="F18" s="94">
        <v>0</v>
      </c>
      <c r="G18" s="94">
        <f t="shared" si="0"/>
        <v>4737.5</v>
      </c>
    </row>
    <row r="19" spans="1:7">
      <c r="A19" s="70" t="s">
        <v>115</v>
      </c>
      <c r="B19" s="94">
        <v>487.53</v>
      </c>
      <c r="C19" s="94">
        <v>712.87</v>
      </c>
      <c r="D19" s="94">
        <v>1001.07</v>
      </c>
      <c r="E19" s="94">
        <v>867.32</v>
      </c>
      <c r="F19" s="94">
        <v>1001.1</v>
      </c>
      <c r="G19" s="94">
        <f t="shared" si="0"/>
        <v>4069.89</v>
      </c>
    </row>
    <row r="20" spans="1:7">
      <c r="A20" s="70" t="s">
        <v>128</v>
      </c>
      <c r="B20" s="94">
        <v>0</v>
      </c>
      <c r="C20" s="94">
        <v>3555.4</v>
      </c>
      <c r="D20" s="94">
        <v>0</v>
      </c>
      <c r="E20" s="94">
        <v>0</v>
      </c>
      <c r="F20" s="94">
        <v>0</v>
      </c>
      <c r="G20" s="94">
        <f t="shared" si="0"/>
        <v>3555.4</v>
      </c>
    </row>
    <row r="21" spans="1:7">
      <c r="A21" s="70" t="s">
        <v>133</v>
      </c>
      <c r="B21" s="94">
        <v>0</v>
      </c>
      <c r="C21" s="94">
        <v>2517.19</v>
      </c>
      <c r="D21" s="94">
        <v>567.16</v>
      </c>
      <c r="E21" s="94">
        <v>57.25</v>
      </c>
      <c r="F21" s="94">
        <v>0</v>
      </c>
      <c r="G21" s="94">
        <f t="shared" si="0"/>
        <v>3141.6</v>
      </c>
    </row>
    <row r="22" spans="1:7">
      <c r="A22" s="70" t="s">
        <v>214</v>
      </c>
      <c r="B22" s="94">
        <v>0</v>
      </c>
      <c r="C22" s="94">
        <v>0</v>
      </c>
      <c r="D22" s="94">
        <v>3139</v>
      </c>
      <c r="E22" s="94">
        <v>0</v>
      </c>
      <c r="F22" s="94">
        <v>0</v>
      </c>
      <c r="G22" s="94">
        <f t="shared" si="0"/>
        <v>3139</v>
      </c>
    </row>
    <row r="23" spans="1:7">
      <c r="A23" s="70" t="s">
        <v>254</v>
      </c>
      <c r="B23" s="94">
        <v>0</v>
      </c>
      <c r="C23" s="94">
        <v>0</v>
      </c>
      <c r="D23" s="94">
        <v>2501</v>
      </c>
      <c r="E23" s="94">
        <v>0</v>
      </c>
      <c r="F23" s="94">
        <v>0</v>
      </c>
      <c r="G23" s="94">
        <f t="shared" si="0"/>
        <v>2501</v>
      </c>
    </row>
    <row r="24" spans="1:7">
      <c r="A24" s="70" t="s">
        <v>255</v>
      </c>
      <c r="B24" s="94">
        <v>0</v>
      </c>
      <c r="C24" s="94">
        <v>2500</v>
      </c>
      <c r="D24" s="94">
        <v>0</v>
      </c>
      <c r="E24" s="94">
        <v>0</v>
      </c>
      <c r="F24" s="94">
        <v>0</v>
      </c>
      <c r="G24" s="94">
        <f t="shared" si="0"/>
        <v>2500</v>
      </c>
    </row>
    <row r="25" spans="1:7">
      <c r="A25" s="70" t="s">
        <v>256</v>
      </c>
      <c r="B25" s="94">
        <v>0</v>
      </c>
      <c r="C25" s="94">
        <v>2468.54</v>
      </c>
      <c r="D25" s="94">
        <v>0</v>
      </c>
      <c r="E25" s="94">
        <v>0</v>
      </c>
      <c r="F25" s="94">
        <v>0</v>
      </c>
      <c r="G25" s="94">
        <f t="shared" si="0"/>
        <v>2468.54</v>
      </c>
    </row>
    <row r="26" spans="1:7">
      <c r="A26" s="70" t="s">
        <v>326</v>
      </c>
      <c r="B26" s="94">
        <v>0</v>
      </c>
      <c r="C26" s="94">
        <v>2000</v>
      </c>
      <c r="D26" s="94">
        <v>0</v>
      </c>
      <c r="E26" s="94">
        <v>0</v>
      </c>
      <c r="F26" s="94">
        <v>0</v>
      </c>
      <c r="G26" s="94">
        <f t="shared" si="0"/>
        <v>2000</v>
      </c>
    </row>
    <row r="27" spans="1:7">
      <c r="A27" s="70" t="s">
        <v>116</v>
      </c>
      <c r="B27" s="94">
        <v>0</v>
      </c>
      <c r="C27" s="94">
        <v>1500</v>
      </c>
      <c r="D27" s="94">
        <v>0</v>
      </c>
      <c r="E27" s="94">
        <v>0</v>
      </c>
      <c r="F27" s="94">
        <v>0</v>
      </c>
      <c r="G27" s="94">
        <f t="shared" si="0"/>
        <v>1500</v>
      </c>
    </row>
    <row r="28" spans="1:7">
      <c r="A28" s="70" t="s">
        <v>124</v>
      </c>
      <c r="B28" s="94">
        <v>0</v>
      </c>
      <c r="C28" s="94">
        <v>375</v>
      </c>
      <c r="D28" s="94">
        <v>0</v>
      </c>
      <c r="E28" s="94">
        <v>1025</v>
      </c>
      <c r="F28" s="94">
        <v>0</v>
      </c>
      <c r="G28" s="94">
        <f t="shared" si="0"/>
        <v>1400</v>
      </c>
    </row>
    <row r="29" spans="1:7">
      <c r="A29" s="70" t="s">
        <v>219</v>
      </c>
      <c r="B29" s="94">
        <v>0</v>
      </c>
      <c r="C29" s="94">
        <v>169</v>
      </c>
      <c r="D29" s="94">
        <v>845</v>
      </c>
      <c r="E29" s="94">
        <v>0</v>
      </c>
      <c r="F29" s="94">
        <v>0</v>
      </c>
      <c r="G29" s="94">
        <f t="shared" si="0"/>
        <v>1014</v>
      </c>
    </row>
    <row r="30" spans="1:7">
      <c r="A30" s="70" t="s">
        <v>114</v>
      </c>
      <c r="B30" s="94">
        <v>524.12</v>
      </c>
      <c r="C30" s="94">
        <v>369.12</v>
      </c>
      <c r="D30" s="94">
        <v>0</v>
      </c>
      <c r="E30" s="94">
        <v>0</v>
      </c>
      <c r="F30" s="94">
        <v>0</v>
      </c>
      <c r="G30" s="94">
        <f t="shared" si="0"/>
        <v>893.24</v>
      </c>
    </row>
    <row r="31" spans="1:7">
      <c r="A31" s="70" t="s">
        <v>220</v>
      </c>
      <c r="B31" s="94">
        <v>850</v>
      </c>
      <c r="C31" s="94">
        <v>0</v>
      </c>
      <c r="D31" s="94">
        <v>0</v>
      </c>
      <c r="E31" s="94">
        <v>0</v>
      </c>
      <c r="F31" s="94">
        <v>0</v>
      </c>
      <c r="G31" s="94">
        <f t="shared" si="0"/>
        <v>850</v>
      </c>
    </row>
    <row r="32" spans="1:7">
      <c r="A32" s="70" t="s">
        <v>130</v>
      </c>
      <c r="B32" s="94">
        <v>246.8</v>
      </c>
      <c r="C32" s="94">
        <v>0</v>
      </c>
      <c r="D32" s="94">
        <v>406.25</v>
      </c>
      <c r="E32" s="94">
        <v>0</v>
      </c>
      <c r="F32" s="94">
        <v>0</v>
      </c>
      <c r="G32" s="94">
        <f t="shared" si="0"/>
        <v>653.04999999999995</v>
      </c>
    </row>
    <row r="33" spans="1:7">
      <c r="A33" s="70" t="s">
        <v>216</v>
      </c>
      <c r="B33" s="94">
        <v>0</v>
      </c>
      <c r="C33" s="94">
        <v>0</v>
      </c>
      <c r="D33" s="94">
        <v>570</v>
      </c>
      <c r="E33" s="94">
        <v>0</v>
      </c>
      <c r="F33" s="94">
        <v>0</v>
      </c>
      <c r="G33" s="94">
        <f t="shared" si="0"/>
        <v>570</v>
      </c>
    </row>
    <row r="34" spans="1:7">
      <c r="A34" s="70" t="s">
        <v>131</v>
      </c>
      <c r="B34" s="94">
        <v>417.53</v>
      </c>
      <c r="C34" s="94">
        <v>0</v>
      </c>
      <c r="D34" s="94">
        <v>0</v>
      </c>
      <c r="E34" s="94">
        <v>0</v>
      </c>
      <c r="F34" s="94">
        <v>0</v>
      </c>
      <c r="G34" s="94">
        <f t="shared" si="0"/>
        <v>417.53</v>
      </c>
    </row>
    <row r="35" spans="1:7">
      <c r="A35" s="70" t="s">
        <v>257</v>
      </c>
      <c r="B35" s="94">
        <v>0</v>
      </c>
      <c r="C35" s="94">
        <v>393.89</v>
      </c>
      <c r="D35" s="94">
        <v>0</v>
      </c>
      <c r="E35" s="94">
        <v>0</v>
      </c>
      <c r="F35" s="94">
        <v>0</v>
      </c>
      <c r="G35" s="94">
        <f t="shared" si="0"/>
        <v>393.89</v>
      </c>
    </row>
    <row r="36" spans="1:7">
      <c r="A36" s="70" t="s">
        <v>121</v>
      </c>
      <c r="B36" s="94">
        <v>0</v>
      </c>
      <c r="C36" s="94">
        <v>116.06</v>
      </c>
      <c r="D36" s="94">
        <v>0</v>
      </c>
      <c r="E36" s="94">
        <v>116.06</v>
      </c>
      <c r="F36" s="94">
        <v>112.14</v>
      </c>
      <c r="G36" s="94">
        <f t="shared" si="0"/>
        <v>344.26</v>
      </c>
    </row>
    <row r="37" spans="1:7">
      <c r="A37" s="70" t="s">
        <v>119</v>
      </c>
      <c r="B37" s="94">
        <v>81.66</v>
      </c>
      <c r="C37" s="94">
        <v>81.66</v>
      </c>
      <c r="D37" s="94">
        <v>0</v>
      </c>
      <c r="E37" s="94">
        <v>0</v>
      </c>
      <c r="F37" s="94">
        <v>0</v>
      </c>
      <c r="G37" s="94">
        <f t="shared" si="0"/>
        <v>163.32</v>
      </c>
    </row>
    <row r="38" spans="1:7" ht="15.75" thickBot="1">
      <c r="A38" s="70" t="s">
        <v>383</v>
      </c>
      <c r="B38" s="94">
        <v>0</v>
      </c>
      <c r="C38" s="94">
        <v>0</v>
      </c>
      <c r="D38" s="94">
        <v>0</v>
      </c>
      <c r="E38" s="94">
        <v>0</v>
      </c>
      <c r="F38" s="94">
        <v>0</v>
      </c>
      <c r="G38" s="94">
        <f t="shared" si="0"/>
        <v>0</v>
      </c>
    </row>
    <row r="39" spans="1:7" s="71" customFormat="1" ht="12" thickBot="1">
      <c r="A39" s="70" t="s">
        <v>113</v>
      </c>
      <c r="B39" s="97">
        <f>ROUND(SUM(B2:B38),5)</f>
        <v>80797.429999999993</v>
      </c>
      <c r="C39" s="97">
        <f>ROUND(SUM(C2:C38),5)</f>
        <v>92379.37</v>
      </c>
      <c r="D39" s="97">
        <f>ROUND(SUM(D2:D38),5)</f>
        <v>40066.239999999998</v>
      </c>
      <c r="E39" s="97">
        <f>ROUND(SUM(E2:E38),5)</f>
        <v>17205.34</v>
      </c>
      <c r="F39" s="97">
        <f>ROUND(SUM(F2:F38),5)</f>
        <v>40102.71</v>
      </c>
      <c r="G39" s="97">
        <f t="shared" ref="G39" si="1">ROUND(SUM(B39:F39),5)</f>
        <v>270551.09000000003</v>
      </c>
    </row>
    <row r="40" spans="1:7" ht="15.75" thickTop="1"/>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9</xdr:col>
                <xdr:colOff>495300</xdr:colOff>
                <xdr:row>6</xdr:row>
                <xdr:rowOff>161925</xdr:rowOff>
              </from>
              <to>
                <xdr:col>12</xdr:col>
                <xdr:colOff>257175</xdr:colOff>
                <xdr:row>9</xdr:row>
                <xdr:rowOff>38100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25"/>
  <sheetViews>
    <sheetView workbookViewId="0">
      <pane ySplit="1" topLeftCell="A2" activePane="bottomLeft" state="frozen"/>
      <selection pane="bottomLeft"/>
    </sheetView>
  </sheetViews>
  <sheetFormatPr defaultRowHeight="15"/>
  <cols>
    <col min="1" max="2" width="3" style="92" customWidth="1"/>
    <col min="3" max="3" width="61.85546875" style="92" customWidth="1"/>
    <col min="4" max="4" width="10.42578125" style="92" customWidth="1"/>
    <col min="5" max="5" width="6.85546875" style="92" customWidth="1"/>
    <col min="6" max="6" width="12.5703125" style="92" customWidth="1"/>
    <col min="7" max="7" width="10.5703125" style="92" customWidth="1"/>
    <col min="8" max="8" width="12.42578125" style="92" customWidth="1"/>
    <col min="9" max="9" width="9.7109375" style="92" customWidth="1"/>
    <col min="10" max="10" width="10.140625" style="92" customWidth="1"/>
    <col min="11" max="11" width="12" style="92" customWidth="1"/>
    <col min="12" max="12" width="9.140625" style="83"/>
    <col min="13" max="13" width="19.28515625" style="83" bestFit="1" customWidth="1"/>
    <col min="14" max="14" width="14.7109375" style="83" bestFit="1" customWidth="1"/>
    <col min="15" max="15" width="19.28515625" style="83" customWidth="1"/>
    <col min="16" max="16" width="14.7109375" style="75" bestFit="1" customWidth="1"/>
    <col min="17" max="17" width="13.5703125" style="75" bestFit="1" customWidth="1"/>
    <col min="18" max="18" width="9.7109375" style="75" bestFit="1" customWidth="1"/>
    <col min="19" max="19" width="10.85546875" style="83" bestFit="1" customWidth="1"/>
    <col min="20" max="16384" width="9.140625" style="83"/>
  </cols>
  <sheetData>
    <row r="1" spans="1:19" s="84" customFormat="1" ht="45">
      <c r="A1" s="83"/>
      <c r="B1" s="83"/>
      <c r="C1" s="83"/>
      <c r="D1" s="83"/>
      <c r="E1" s="83"/>
      <c r="F1" s="83"/>
      <c r="G1" s="83"/>
      <c r="H1" s="83"/>
      <c r="I1" s="83"/>
      <c r="J1" s="83"/>
      <c r="K1" s="83"/>
      <c r="M1" s="85" t="s">
        <v>48</v>
      </c>
      <c r="N1" s="85" t="s">
        <v>49</v>
      </c>
      <c r="O1" s="86" t="s">
        <v>50</v>
      </c>
      <c r="P1" s="87" t="s">
        <v>46</v>
      </c>
      <c r="Q1" s="87" t="s">
        <v>47</v>
      </c>
      <c r="R1" s="87" t="s">
        <v>45</v>
      </c>
    </row>
    <row r="2" spans="1:19">
      <c r="A2" s="83"/>
      <c r="B2" s="83"/>
      <c r="C2" s="83"/>
      <c r="D2" s="83"/>
      <c r="E2" s="83"/>
      <c r="F2" s="83"/>
      <c r="G2" s="83"/>
      <c r="H2" s="83"/>
      <c r="I2" s="83"/>
      <c r="J2" s="83"/>
      <c r="K2" s="83"/>
      <c r="M2" s="88"/>
      <c r="N2" s="89"/>
      <c r="O2" s="89"/>
      <c r="P2" s="89"/>
      <c r="Q2" s="89"/>
      <c r="R2" s="89"/>
      <c r="S2" s="75"/>
    </row>
    <row r="3" spans="1:19">
      <c r="A3" s="83"/>
      <c r="B3" s="83"/>
      <c r="C3" s="83"/>
      <c r="D3" s="83"/>
      <c r="E3" s="83"/>
      <c r="F3" s="83"/>
      <c r="G3" s="83"/>
      <c r="H3" s="83"/>
      <c r="I3" s="83"/>
      <c r="J3" s="83"/>
      <c r="K3" s="83"/>
      <c r="M3" s="88"/>
      <c r="N3" s="89"/>
      <c r="O3" s="89"/>
      <c r="P3" s="89"/>
      <c r="Q3" s="89"/>
      <c r="R3" s="89"/>
      <c r="S3" s="75"/>
    </row>
    <row r="4" spans="1:19">
      <c r="A4" s="83"/>
      <c r="B4" s="83"/>
      <c r="C4" s="83"/>
      <c r="D4" s="83"/>
      <c r="E4" s="83"/>
      <c r="F4" s="83"/>
      <c r="G4" s="83"/>
      <c r="H4" s="83"/>
      <c r="I4" s="83"/>
      <c r="J4" s="83"/>
      <c r="K4" s="83"/>
      <c r="M4" s="88"/>
      <c r="N4" s="89"/>
      <c r="O4" s="89"/>
      <c r="P4" s="89"/>
      <c r="Q4" s="89"/>
      <c r="R4" s="89"/>
      <c r="S4" s="75"/>
    </row>
    <row r="5" spans="1:19">
      <c r="A5" s="83"/>
      <c r="B5" s="83"/>
      <c r="C5" s="83"/>
      <c r="D5" s="83"/>
      <c r="E5" s="83"/>
      <c r="F5" s="83"/>
      <c r="G5" s="83"/>
      <c r="H5" s="83"/>
      <c r="I5" s="83"/>
      <c r="J5" s="83"/>
      <c r="K5" s="83"/>
      <c r="M5" s="88"/>
      <c r="N5" s="89"/>
      <c r="O5" s="89"/>
      <c r="P5" s="89"/>
      <c r="Q5" s="89"/>
      <c r="R5" s="89"/>
      <c r="S5" s="75"/>
    </row>
    <row r="6" spans="1:19">
      <c r="A6" s="83"/>
      <c r="B6" s="83"/>
      <c r="C6" s="83"/>
      <c r="D6" s="83"/>
      <c r="E6" s="83"/>
      <c r="F6" s="83"/>
      <c r="G6" s="83"/>
      <c r="H6" s="83"/>
      <c r="I6" s="83"/>
      <c r="J6" s="83"/>
      <c r="K6" s="83"/>
      <c r="M6" s="88"/>
      <c r="N6" s="88"/>
      <c r="O6" s="88"/>
      <c r="P6" s="89"/>
      <c r="Q6" s="89"/>
      <c r="R6" s="89"/>
      <c r="S6" s="75"/>
    </row>
    <row r="7" spans="1:19">
      <c r="A7" s="83"/>
      <c r="B7" s="83"/>
      <c r="C7" s="83"/>
      <c r="D7" s="83"/>
      <c r="E7" s="83"/>
      <c r="F7" s="83"/>
      <c r="G7" s="83"/>
      <c r="H7" s="83"/>
      <c r="I7" s="83"/>
      <c r="J7" s="83"/>
      <c r="K7" s="83"/>
      <c r="M7" s="88"/>
      <c r="N7" s="88"/>
      <c r="O7" s="88"/>
      <c r="P7" s="89"/>
      <c r="Q7" s="89"/>
      <c r="R7" s="89"/>
      <c r="S7" s="75"/>
    </row>
    <row r="8" spans="1:19">
      <c r="A8" s="83"/>
      <c r="B8" s="83"/>
      <c r="C8" s="83"/>
      <c r="D8" s="83"/>
      <c r="E8" s="83"/>
      <c r="F8" s="83"/>
      <c r="G8" s="83"/>
      <c r="H8" s="83"/>
      <c r="I8" s="83"/>
      <c r="J8" s="83"/>
      <c r="K8" s="83"/>
      <c r="M8" s="88"/>
      <c r="N8" s="88"/>
      <c r="O8" s="88"/>
      <c r="P8" s="89"/>
      <c r="Q8" s="89"/>
      <c r="R8" s="89"/>
      <c r="S8" s="75"/>
    </row>
    <row r="9" spans="1:19">
      <c r="A9" s="83"/>
      <c r="B9" s="83"/>
      <c r="C9" s="83"/>
      <c r="D9" s="83"/>
      <c r="E9" s="83"/>
      <c r="F9" s="83"/>
      <c r="G9" s="83"/>
      <c r="H9" s="83"/>
      <c r="I9" s="83"/>
      <c r="J9" s="83"/>
      <c r="K9" s="83"/>
      <c r="M9" s="88"/>
      <c r="N9" s="88"/>
      <c r="O9" s="88"/>
      <c r="P9" s="89"/>
      <c r="Q9" s="89"/>
      <c r="R9" s="89"/>
    </row>
    <row r="10" spans="1:19">
      <c r="A10" s="83"/>
      <c r="B10" s="83"/>
      <c r="C10" s="83"/>
      <c r="D10" s="83"/>
      <c r="E10" s="83"/>
      <c r="F10" s="83"/>
      <c r="G10" s="83"/>
      <c r="H10" s="83"/>
      <c r="I10" s="83"/>
      <c r="J10" s="83"/>
      <c r="K10" s="83"/>
    </row>
    <row r="11" spans="1:19">
      <c r="A11" s="83"/>
      <c r="B11" s="83"/>
      <c r="C11" s="83"/>
      <c r="D11" s="83"/>
      <c r="E11" s="83"/>
      <c r="F11" s="83"/>
      <c r="G11" s="83"/>
      <c r="H11" s="83"/>
      <c r="I11" s="83"/>
      <c r="J11" s="83"/>
      <c r="K11" s="83"/>
    </row>
    <row r="12" spans="1:19">
      <c r="A12" s="83"/>
      <c r="B12" s="83"/>
      <c r="C12" s="83"/>
      <c r="D12" s="83"/>
      <c r="E12" s="83"/>
      <c r="F12" s="83"/>
      <c r="G12" s="83"/>
      <c r="H12" s="83"/>
      <c r="I12" s="83"/>
      <c r="J12" s="83"/>
      <c r="K12" s="83"/>
    </row>
    <row r="13" spans="1:19">
      <c r="A13" s="83"/>
      <c r="B13" s="83"/>
      <c r="C13" s="83"/>
      <c r="D13" s="83"/>
      <c r="E13" s="83"/>
      <c r="F13" s="83"/>
      <c r="G13" s="83"/>
      <c r="H13" s="83"/>
      <c r="I13" s="83"/>
      <c r="J13" s="83"/>
      <c r="K13" s="83"/>
    </row>
    <row r="14" spans="1:19">
      <c r="A14" s="83"/>
      <c r="B14" s="83"/>
      <c r="C14" s="83"/>
      <c r="D14" s="83"/>
      <c r="E14" s="83"/>
      <c r="F14" s="83"/>
      <c r="G14" s="83"/>
      <c r="H14" s="83"/>
      <c r="I14" s="83"/>
      <c r="J14" s="83"/>
      <c r="K14" s="83"/>
    </row>
    <row r="15" spans="1:19">
      <c r="A15" s="83"/>
      <c r="B15" s="83"/>
      <c r="C15" s="83"/>
      <c r="D15" s="83"/>
      <c r="E15" s="83"/>
      <c r="F15" s="83"/>
      <c r="G15" s="83"/>
      <c r="H15" s="83"/>
      <c r="I15" s="83"/>
      <c r="J15" s="83"/>
      <c r="K15" s="83"/>
    </row>
    <row r="16" spans="1:19">
      <c r="A16" s="83"/>
      <c r="B16" s="83"/>
      <c r="C16" s="83"/>
      <c r="D16" s="83"/>
      <c r="E16" s="83"/>
      <c r="F16" s="83"/>
      <c r="G16" s="83"/>
      <c r="H16" s="83"/>
      <c r="I16" s="83"/>
      <c r="J16" s="83"/>
      <c r="K16" s="83"/>
    </row>
    <row r="17" spans="1:11">
      <c r="A17" s="83"/>
      <c r="B17" s="83"/>
      <c r="C17" s="83"/>
      <c r="D17" s="83"/>
      <c r="E17" s="83"/>
      <c r="F17" s="83"/>
      <c r="G17" s="83"/>
      <c r="H17" s="83"/>
      <c r="I17" s="83"/>
      <c r="J17" s="83"/>
      <c r="K17" s="83"/>
    </row>
    <row r="18" spans="1:11">
      <c r="A18" s="83"/>
      <c r="B18" s="83"/>
      <c r="C18" s="83"/>
      <c r="D18" s="83"/>
      <c r="E18" s="83"/>
      <c r="F18" s="83"/>
      <c r="G18" s="83"/>
      <c r="H18" s="83"/>
      <c r="I18" s="83"/>
      <c r="J18" s="83"/>
      <c r="K18" s="83"/>
    </row>
    <row r="19" spans="1:11">
      <c r="A19" s="83"/>
      <c r="B19" s="83"/>
      <c r="C19" s="83"/>
      <c r="D19" s="83"/>
      <c r="E19" s="83"/>
      <c r="F19" s="83"/>
      <c r="G19" s="83"/>
      <c r="H19" s="83"/>
      <c r="I19" s="83"/>
      <c r="J19" s="83"/>
      <c r="K19" s="83"/>
    </row>
    <row r="20" spans="1:11">
      <c r="A20" s="83"/>
      <c r="B20" s="83"/>
      <c r="C20" s="83"/>
      <c r="D20" s="83"/>
      <c r="E20" s="83"/>
      <c r="F20" s="83"/>
      <c r="G20" s="83"/>
      <c r="H20" s="83"/>
      <c r="I20" s="83"/>
      <c r="J20" s="83"/>
      <c r="K20" s="83"/>
    </row>
    <row r="21" spans="1:11">
      <c r="A21" s="83"/>
      <c r="B21" s="83"/>
      <c r="C21" s="83"/>
      <c r="D21" s="83"/>
      <c r="E21" s="83"/>
      <c r="F21" s="83"/>
      <c r="G21" s="83"/>
      <c r="H21" s="83"/>
      <c r="I21" s="83"/>
      <c r="J21" s="83"/>
      <c r="K21" s="83"/>
    </row>
    <row r="22" spans="1:11">
      <c r="A22" s="83"/>
      <c r="B22" s="83"/>
      <c r="C22" s="83"/>
      <c r="D22" s="83"/>
      <c r="E22" s="83"/>
      <c r="F22" s="83"/>
      <c r="G22" s="83"/>
      <c r="H22" s="83"/>
      <c r="I22" s="83"/>
      <c r="J22" s="83"/>
      <c r="K22" s="83"/>
    </row>
    <row r="23" spans="1:11">
      <c r="A23" s="83"/>
      <c r="B23" s="83"/>
      <c r="C23" s="83"/>
      <c r="D23" s="83"/>
      <c r="E23" s="83"/>
      <c r="F23" s="83"/>
      <c r="G23" s="83"/>
      <c r="H23" s="83"/>
      <c r="I23" s="83"/>
      <c r="J23" s="83"/>
      <c r="K23" s="83"/>
    </row>
    <row r="24" spans="1:11">
      <c r="A24" s="83"/>
      <c r="B24" s="83"/>
      <c r="C24" s="83"/>
      <c r="D24" s="83"/>
      <c r="E24" s="83"/>
      <c r="F24" s="83"/>
      <c r="G24" s="83"/>
      <c r="H24" s="83"/>
      <c r="I24" s="83"/>
      <c r="J24" s="83"/>
      <c r="K24" s="83"/>
    </row>
    <row r="25" spans="1:11">
      <c r="A25" s="83"/>
      <c r="B25" s="83"/>
      <c r="C25" s="83"/>
      <c r="D25" s="83"/>
      <c r="E25" s="83"/>
      <c r="F25" s="83"/>
      <c r="G25" s="83"/>
      <c r="H25" s="83"/>
      <c r="I25" s="83"/>
      <c r="J25" s="83"/>
      <c r="K25" s="83"/>
    </row>
    <row r="26" spans="1:11">
      <c r="A26" s="83"/>
      <c r="B26" s="83"/>
      <c r="C26" s="83"/>
      <c r="D26" s="83"/>
      <c r="E26" s="83"/>
      <c r="F26" s="83"/>
      <c r="G26" s="83"/>
      <c r="H26" s="83"/>
      <c r="I26" s="83"/>
      <c r="J26" s="83"/>
      <c r="K26" s="83"/>
    </row>
    <row r="27" spans="1:11">
      <c r="A27" s="83"/>
      <c r="B27" s="83"/>
      <c r="C27" s="83"/>
      <c r="D27" s="83"/>
      <c r="E27" s="83"/>
      <c r="F27" s="83"/>
      <c r="G27" s="83"/>
      <c r="H27" s="83"/>
      <c r="I27" s="83"/>
      <c r="J27" s="83"/>
      <c r="K27" s="83"/>
    </row>
    <row r="28" spans="1:11">
      <c r="A28" s="83"/>
      <c r="B28" s="83"/>
      <c r="C28" s="83"/>
      <c r="D28" s="83"/>
      <c r="E28" s="83"/>
      <c r="F28" s="83"/>
      <c r="G28" s="83"/>
      <c r="H28" s="83"/>
      <c r="I28" s="83"/>
      <c r="J28" s="83"/>
      <c r="K28" s="83"/>
    </row>
    <row r="29" spans="1:11">
      <c r="A29" s="83"/>
      <c r="B29" s="83"/>
      <c r="C29" s="83"/>
      <c r="D29" s="83"/>
      <c r="E29" s="83"/>
      <c r="F29" s="83"/>
      <c r="G29" s="83"/>
      <c r="H29" s="83"/>
      <c r="I29" s="83"/>
      <c r="J29" s="83"/>
      <c r="K29" s="83"/>
    </row>
    <row r="30" spans="1:11">
      <c r="A30" s="83"/>
      <c r="B30" s="83"/>
      <c r="C30" s="83"/>
      <c r="D30" s="83"/>
      <c r="E30" s="83"/>
      <c r="F30" s="83"/>
      <c r="G30" s="83"/>
      <c r="H30" s="83"/>
      <c r="I30" s="83"/>
      <c r="J30" s="83"/>
      <c r="K30" s="83"/>
    </row>
    <row r="31" spans="1:11">
      <c r="A31" s="83"/>
      <c r="B31" s="83"/>
      <c r="C31" s="83"/>
      <c r="D31" s="83"/>
      <c r="E31" s="83"/>
      <c r="F31" s="83"/>
      <c r="G31" s="83"/>
      <c r="H31" s="83"/>
      <c r="I31" s="83"/>
      <c r="J31" s="83"/>
      <c r="K31" s="83"/>
    </row>
    <row r="32" spans="1:11">
      <c r="A32" s="83"/>
      <c r="B32" s="83"/>
      <c r="C32" s="83"/>
      <c r="D32" s="83"/>
      <c r="E32" s="83"/>
      <c r="F32" s="83"/>
      <c r="G32" s="83"/>
      <c r="H32" s="83"/>
      <c r="I32" s="83"/>
      <c r="J32" s="83"/>
      <c r="K32" s="83"/>
    </row>
    <row r="33" spans="1:11">
      <c r="A33" s="83"/>
      <c r="B33" s="83"/>
      <c r="C33" s="83"/>
      <c r="D33" s="83"/>
      <c r="E33" s="83"/>
      <c r="F33" s="83"/>
      <c r="G33" s="83"/>
      <c r="H33" s="83"/>
      <c r="I33" s="83"/>
      <c r="J33" s="83"/>
      <c r="K33" s="83"/>
    </row>
    <row r="34" spans="1:11">
      <c r="A34" s="83"/>
      <c r="B34" s="83"/>
      <c r="C34" s="83"/>
      <c r="D34" s="83"/>
      <c r="E34" s="83"/>
      <c r="F34" s="83"/>
      <c r="G34" s="83"/>
      <c r="H34" s="83"/>
      <c r="I34" s="83"/>
      <c r="J34" s="83"/>
      <c r="K34" s="83"/>
    </row>
    <row r="35" spans="1:11">
      <c r="A35" s="83"/>
      <c r="B35" s="83"/>
      <c r="C35" s="83"/>
      <c r="D35" s="83"/>
      <c r="E35" s="83"/>
      <c r="F35" s="83"/>
      <c r="G35" s="83"/>
      <c r="H35" s="83"/>
      <c r="I35" s="83"/>
      <c r="J35" s="83"/>
      <c r="K35" s="83"/>
    </row>
    <row r="36" spans="1:11">
      <c r="A36" s="83"/>
      <c r="B36" s="83"/>
      <c r="C36" s="83"/>
      <c r="D36" s="83"/>
      <c r="E36" s="83"/>
      <c r="F36" s="83"/>
      <c r="G36" s="83"/>
      <c r="H36" s="83"/>
      <c r="I36" s="83"/>
      <c r="J36" s="83"/>
      <c r="K36" s="83"/>
    </row>
    <row r="37" spans="1:11">
      <c r="A37" s="83"/>
      <c r="B37" s="83"/>
      <c r="C37" s="83"/>
      <c r="D37" s="83"/>
      <c r="E37" s="83"/>
      <c r="F37" s="83"/>
      <c r="G37" s="83"/>
      <c r="H37" s="83"/>
      <c r="I37" s="83"/>
      <c r="J37" s="83"/>
      <c r="K37" s="83"/>
    </row>
    <row r="38" spans="1:11">
      <c r="A38" s="83"/>
      <c r="B38" s="83"/>
      <c r="C38" s="83"/>
      <c r="D38" s="83"/>
      <c r="E38" s="83"/>
      <c r="F38" s="83"/>
      <c r="G38" s="83"/>
      <c r="H38" s="83"/>
      <c r="I38" s="83"/>
      <c r="J38" s="83"/>
      <c r="K38" s="83"/>
    </row>
    <row r="39" spans="1:11">
      <c r="A39" s="83"/>
      <c r="B39" s="83"/>
      <c r="C39" s="83"/>
      <c r="D39" s="83"/>
      <c r="E39" s="83"/>
      <c r="F39" s="83"/>
      <c r="G39" s="83"/>
      <c r="H39" s="83"/>
      <c r="I39" s="83"/>
      <c r="J39" s="83"/>
      <c r="K39" s="83"/>
    </row>
    <row r="40" spans="1:11">
      <c r="A40" s="83"/>
      <c r="B40" s="83"/>
      <c r="C40" s="83"/>
      <c r="D40" s="83"/>
      <c r="E40" s="83"/>
      <c r="F40" s="83"/>
      <c r="G40" s="83"/>
      <c r="H40" s="83"/>
      <c r="I40" s="83"/>
      <c r="J40" s="83"/>
      <c r="K40" s="83"/>
    </row>
    <row r="41" spans="1:11">
      <c r="A41" s="83"/>
      <c r="B41" s="83"/>
      <c r="C41" s="83"/>
      <c r="D41" s="83"/>
      <c r="E41" s="83"/>
      <c r="F41" s="83"/>
      <c r="G41" s="83"/>
      <c r="H41" s="83"/>
      <c r="I41" s="83"/>
      <c r="J41" s="83"/>
      <c r="K41" s="83"/>
    </row>
    <row r="42" spans="1:11">
      <c r="A42" s="83"/>
      <c r="B42" s="83"/>
      <c r="C42" s="83"/>
      <c r="D42" s="83"/>
      <c r="E42" s="83"/>
      <c r="F42" s="83"/>
      <c r="G42" s="83"/>
      <c r="H42" s="83"/>
      <c r="I42" s="83"/>
      <c r="J42" s="83"/>
      <c r="K42" s="83"/>
    </row>
    <row r="43" spans="1:11">
      <c r="A43" s="83"/>
      <c r="B43" s="83"/>
      <c r="C43" s="83"/>
      <c r="D43" s="83"/>
      <c r="E43" s="83"/>
      <c r="F43" s="83"/>
      <c r="G43" s="83"/>
      <c r="H43" s="83"/>
      <c r="I43" s="83"/>
      <c r="J43" s="83"/>
      <c r="K43" s="83"/>
    </row>
    <row r="44" spans="1:11">
      <c r="A44" s="83"/>
      <c r="B44" s="83"/>
      <c r="C44" s="83"/>
      <c r="D44" s="83"/>
      <c r="E44" s="83"/>
      <c r="F44" s="83"/>
      <c r="G44" s="83"/>
      <c r="H44" s="83"/>
      <c r="I44" s="83"/>
      <c r="J44" s="83"/>
      <c r="K44" s="83"/>
    </row>
    <row r="45" spans="1:11">
      <c r="A45" s="83"/>
      <c r="B45" s="83"/>
      <c r="C45" s="83"/>
      <c r="D45" s="83"/>
      <c r="E45" s="83"/>
      <c r="F45" s="83"/>
      <c r="G45" s="83"/>
      <c r="H45" s="83"/>
      <c r="I45" s="83"/>
      <c r="J45" s="83"/>
      <c r="K45" s="83"/>
    </row>
    <row r="46" spans="1:11">
      <c r="A46" s="83"/>
      <c r="B46" s="83"/>
      <c r="C46" s="83"/>
      <c r="D46" s="83"/>
      <c r="E46" s="83"/>
      <c r="F46" s="83"/>
      <c r="G46" s="83"/>
      <c r="H46" s="83"/>
      <c r="I46" s="83"/>
      <c r="J46" s="83"/>
      <c r="K46" s="83"/>
    </row>
    <row r="47" spans="1:11">
      <c r="A47" s="83"/>
      <c r="B47" s="83"/>
      <c r="C47" s="83"/>
      <c r="D47" s="83"/>
      <c r="E47" s="83"/>
      <c r="F47" s="83"/>
      <c r="G47" s="83"/>
      <c r="H47" s="83"/>
      <c r="I47" s="83"/>
      <c r="J47" s="83"/>
      <c r="K47" s="83"/>
    </row>
    <row r="48" spans="1:11">
      <c r="A48" s="83"/>
      <c r="B48" s="83"/>
      <c r="C48" s="83"/>
      <c r="D48" s="83"/>
      <c r="E48" s="83"/>
      <c r="F48" s="83"/>
      <c r="G48" s="83"/>
      <c r="H48" s="83"/>
      <c r="I48" s="83"/>
      <c r="J48" s="83"/>
      <c r="K48" s="83"/>
    </row>
    <row r="49" spans="1:11">
      <c r="A49" s="83"/>
      <c r="B49" s="83"/>
      <c r="C49" s="83"/>
      <c r="D49" s="83"/>
      <c r="E49" s="83"/>
      <c r="F49" s="83"/>
      <c r="G49" s="83"/>
      <c r="H49" s="83"/>
      <c r="I49" s="83"/>
      <c r="J49" s="83"/>
      <c r="K49" s="83"/>
    </row>
    <row r="50" spans="1:11">
      <c r="A50" s="83"/>
      <c r="B50" s="83"/>
      <c r="C50" s="83"/>
      <c r="D50" s="83"/>
      <c r="E50" s="83"/>
      <c r="F50" s="83"/>
      <c r="G50" s="83"/>
      <c r="H50" s="83"/>
      <c r="I50" s="83"/>
      <c r="J50" s="83"/>
      <c r="K50" s="83"/>
    </row>
    <row r="51" spans="1:11">
      <c r="A51" s="83"/>
      <c r="B51" s="83"/>
      <c r="C51" s="83"/>
      <c r="D51" s="83"/>
      <c r="E51" s="83"/>
      <c r="F51" s="83"/>
      <c r="G51" s="83"/>
      <c r="H51" s="83"/>
      <c r="I51" s="83"/>
      <c r="J51" s="83"/>
      <c r="K51" s="83"/>
    </row>
    <row r="52" spans="1:11">
      <c r="A52" s="83"/>
      <c r="B52" s="83"/>
      <c r="C52" s="83"/>
      <c r="D52" s="83"/>
      <c r="E52" s="83"/>
      <c r="F52" s="83"/>
      <c r="G52" s="83"/>
      <c r="H52" s="83"/>
      <c r="I52" s="83"/>
      <c r="J52" s="83"/>
      <c r="K52" s="83"/>
    </row>
    <row r="53" spans="1:11">
      <c r="A53" s="83"/>
      <c r="B53" s="83"/>
      <c r="C53" s="83"/>
      <c r="D53" s="83"/>
      <c r="E53" s="83"/>
      <c r="F53" s="83"/>
      <c r="G53" s="83"/>
      <c r="H53" s="83"/>
      <c r="I53" s="83"/>
      <c r="J53" s="83"/>
      <c r="K53" s="83"/>
    </row>
    <row r="54" spans="1:11">
      <c r="A54" s="83"/>
      <c r="B54" s="83"/>
      <c r="C54" s="83"/>
      <c r="D54" s="83"/>
      <c r="E54" s="83"/>
      <c r="F54" s="83"/>
      <c r="G54" s="83"/>
      <c r="H54" s="83"/>
      <c r="I54" s="83"/>
      <c r="J54" s="83"/>
      <c r="K54" s="83"/>
    </row>
    <row r="55" spans="1:11">
      <c r="A55" s="83"/>
      <c r="B55" s="83"/>
      <c r="C55" s="83"/>
      <c r="D55" s="83"/>
      <c r="E55" s="83"/>
      <c r="F55" s="83"/>
      <c r="G55" s="83"/>
      <c r="H55" s="83"/>
      <c r="I55" s="83"/>
      <c r="J55" s="83"/>
      <c r="K55" s="83"/>
    </row>
    <row r="56" spans="1:11">
      <c r="A56" s="83"/>
      <c r="B56" s="83"/>
      <c r="C56" s="83"/>
      <c r="D56" s="83"/>
      <c r="E56" s="83"/>
      <c r="F56" s="83"/>
      <c r="G56" s="83"/>
      <c r="H56" s="83"/>
      <c r="I56" s="83"/>
      <c r="J56" s="83"/>
      <c r="K56" s="83"/>
    </row>
    <row r="57" spans="1:11">
      <c r="A57" s="83"/>
      <c r="B57" s="83"/>
      <c r="C57" s="83"/>
      <c r="D57" s="83"/>
      <c r="E57" s="83"/>
      <c r="F57" s="83"/>
      <c r="G57" s="83"/>
      <c r="H57" s="83"/>
      <c r="I57" s="83"/>
      <c r="J57" s="83"/>
      <c r="K57" s="83"/>
    </row>
    <row r="58" spans="1:11">
      <c r="A58" s="83"/>
      <c r="B58" s="83"/>
      <c r="C58" s="83"/>
      <c r="D58" s="83"/>
      <c r="E58" s="83"/>
      <c r="F58" s="83"/>
      <c r="G58" s="83"/>
      <c r="H58" s="83"/>
      <c r="I58" s="83"/>
      <c r="J58" s="83"/>
      <c r="K58" s="83"/>
    </row>
    <row r="59" spans="1:11">
      <c r="A59" s="83"/>
      <c r="B59" s="83"/>
      <c r="C59" s="83"/>
      <c r="D59" s="83"/>
      <c r="E59" s="83"/>
      <c r="F59" s="83"/>
      <c r="G59" s="83"/>
      <c r="H59" s="83"/>
      <c r="I59" s="83"/>
      <c r="J59" s="83"/>
      <c r="K59" s="83"/>
    </row>
    <row r="60" spans="1:11">
      <c r="A60" s="83"/>
      <c r="B60" s="83"/>
      <c r="C60" s="83"/>
      <c r="D60" s="83"/>
      <c r="E60" s="83"/>
      <c r="F60" s="83"/>
      <c r="G60" s="83"/>
      <c r="H60" s="83"/>
      <c r="I60" s="83"/>
      <c r="J60" s="83"/>
      <c r="K60" s="83"/>
    </row>
    <row r="61" spans="1:11">
      <c r="A61" s="83"/>
      <c r="B61" s="83"/>
      <c r="C61" s="83"/>
      <c r="D61" s="83"/>
      <c r="E61" s="83"/>
      <c r="F61" s="83"/>
      <c r="G61" s="83"/>
      <c r="H61" s="83"/>
      <c r="I61" s="83"/>
      <c r="J61" s="83"/>
      <c r="K61" s="83"/>
    </row>
    <row r="62" spans="1:11">
      <c r="A62" s="83"/>
      <c r="B62" s="83"/>
      <c r="C62" s="83"/>
      <c r="D62" s="83"/>
      <c r="E62" s="83"/>
      <c r="F62" s="83"/>
      <c r="G62" s="83"/>
      <c r="H62" s="83"/>
      <c r="I62" s="83"/>
      <c r="J62" s="83"/>
      <c r="K62" s="83"/>
    </row>
    <row r="63" spans="1:11">
      <c r="A63" s="83"/>
      <c r="B63" s="83"/>
      <c r="C63" s="83"/>
      <c r="D63" s="83"/>
      <c r="E63" s="83"/>
      <c r="F63" s="83"/>
      <c r="G63" s="83"/>
      <c r="H63" s="83"/>
      <c r="I63" s="83"/>
      <c r="J63" s="83"/>
      <c r="K63" s="83"/>
    </row>
    <row r="64" spans="1:11">
      <c r="A64" s="83"/>
      <c r="B64" s="83"/>
      <c r="C64" s="83"/>
      <c r="D64" s="83"/>
      <c r="E64" s="83"/>
      <c r="F64" s="83"/>
      <c r="G64" s="83"/>
      <c r="H64" s="83"/>
      <c r="I64" s="83"/>
      <c r="J64" s="83"/>
      <c r="K64" s="83"/>
    </row>
    <row r="65" spans="1:11">
      <c r="A65" s="83"/>
      <c r="B65" s="83"/>
      <c r="C65" s="83"/>
      <c r="D65" s="83"/>
      <c r="E65" s="83"/>
      <c r="F65" s="83"/>
      <c r="G65" s="83"/>
      <c r="H65" s="83"/>
      <c r="I65" s="83"/>
      <c r="J65" s="83"/>
      <c r="K65" s="83"/>
    </row>
    <row r="66" spans="1:11">
      <c r="A66" s="83"/>
      <c r="B66" s="83"/>
      <c r="C66" s="83"/>
      <c r="D66" s="83"/>
      <c r="E66" s="83"/>
      <c r="F66" s="83"/>
      <c r="G66" s="83"/>
      <c r="H66" s="83"/>
      <c r="I66" s="83"/>
      <c r="J66" s="83"/>
      <c r="K66" s="83"/>
    </row>
    <row r="67" spans="1:11">
      <c r="A67" s="83"/>
      <c r="B67" s="83"/>
      <c r="C67" s="83"/>
      <c r="D67" s="83"/>
      <c r="E67" s="83"/>
      <c r="F67" s="83"/>
      <c r="G67" s="83"/>
      <c r="H67" s="83"/>
      <c r="I67" s="83"/>
      <c r="J67" s="83"/>
      <c r="K67" s="83"/>
    </row>
    <row r="68" spans="1:11">
      <c r="A68" s="83"/>
      <c r="B68" s="83"/>
      <c r="C68" s="83"/>
      <c r="D68" s="83"/>
      <c r="E68" s="83"/>
      <c r="F68" s="83"/>
      <c r="G68" s="83"/>
      <c r="H68" s="83"/>
      <c r="I68" s="83"/>
      <c r="J68" s="83"/>
      <c r="K68" s="83"/>
    </row>
    <row r="69" spans="1:11">
      <c r="A69" s="83"/>
      <c r="B69" s="83"/>
      <c r="C69" s="83"/>
      <c r="D69" s="83"/>
      <c r="E69" s="83"/>
      <c r="F69" s="83"/>
      <c r="G69" s="83"/>
      <c r="H69" s="83"/>
      <c r="I69" s="83"/>
      <c r="J69" s="83"/>
      <c r="K69" s="83"/>
    </row>
    <row r="70" spans="1:11">
      <c r="A70" s="83"/>
      <c r="B70" s="83"/>
      <c r="C70" s="83"/>
      <c r="D70" s="83"/>
      <c r="E70" s="83"/>
      <c r="F70" s="83"/>
      <c r="G70" s="83"/>
      <c r="H70" s="83"/>
      <c r="I70" s="83"/>
      <c r="J70" s="83"/>
      <c r="K70" s="83"/>
    </row>
    <row r="71" spans="1:11">
      <c r="A71" s="83"/>
      <c r="B71" s="83"/>
      <c r="C71" s="83"/>
      <c r="D71" s="83"/>
      <c r="E71" s="83"/>
      <c r="F71" s="83"/>
      <c r="G71" s="83"/>
      <c r="H71" s="83"/>
      <c r="I71" s="83"/>
      <c r="J71" s="83"/>
      <c r="K71" s="83"/>
    </row>
    <row r="72" spans="1:11">
      <c r="A72" s="83"/>
      <c r="B72" s="83"/>
      <c r="C72" s="83"/>
      <c r="D72" s="83"/>
      <c r="E72" s="83"/>
      <c r="F72" s="83"/>
      <c r="G72" s="83"/>
      <c r="H72" s="83"/>
      <c r="I72" s="83"/>
      <c r="J72" s="83"/>
      <c r="K72" s="83"/>
    </row>
    <row r="73" spans="1:11">
      <c r="A73" s="83"/>
      <c r="B73" s="83"/>
      <c r="C73" s="83"/>
      <c r="D73" s="83"/>
      <c r="E73" s="83"/>
      <c r="F73" s="83"/>
      <c r="G73" s="83"/>
      <c r="H73" s="83"/>
      <c r="I73" s="83"/>
      <c r="J73" s="83"/>
      <c r="K73" s="83"/>
    </row>
    <row r="74" spans="1:11">
      <c r="A74" s="83"/>
      <c r="B74" s="83"/>
      <c r="C74" s="83"/>
      <c r="D74" s="83"/>
      <c r="E74" s="83"/>
      <c r="F74" s="83"/>
      <c r="G74" s="83"/>
      <c r="H74" s="83"/>
      <c r="I74" s="83"/>
      <c r="J74" s="83"/>
      <c r="K74" s="83"/>
    </row>
    <row r="75" spans="1:11">
      <c r="A75" s="83"/>
      <c r="B75" s="83"/>
      <c r="C75" s="83"/>
      <c r="D75" s="83"/>
      <c r="E75" s="83"/>
      <c r="F75" s="83"/>
      <c r="G75" s="83"/>
      <c r="H75" s="83"/>
      <c r="I75" s="83"/>
      <c r="J75" s="83"/>
      <c r="K75" s="83"/>
    </row>
    <row r="76" spans="1:11">
      <c r="A76" s="83"/>
      <c r="B76" s="83"/>
      <c r="C76" s="83"/>
      <c r="D76" s="83"/>
      <c r="E76" s="83"/>
      <c r="F76" s="83"/>
      <c r="G76" s="83"/>
      <c r="H76" s="83"/>
      <c r="I76" s="83"/>
      <c r="J76" s="83"/>
      <c r="K76" s="83"/>
    </row>
    <row r="77" spans="1:11">
      <c r="A77" s="83"/>
      <c r="B77" s="83"/>
      <c r="C77" s="83"/>
      <c r="D77" s="83"/>
      <c r="E77" s="83"/>
      <c r="F77" s="83"/>
      <c r="G77" s="83"/>
      <c r="H77" s="83"/>
      <c r="I77" s="83"/>
      <c r="J77" s="83"/>
      <c r="K77" s="83"/>
    </row>
    <row r="78" spans="1:11">
      <c r="A78" s="83"/>
      <c r="B78" s="83"/>
      <c r="C78" s="83"/>
      <c r="D78" s="83"/>
      <c r="E78" s="83"/>
      <c r="F78" s="83"/>
      <c r="G78" s="83"/>
      <c r="H78" s="83"/>
      <c r="I78" s="83"/>
      <c r="J78" s="83"/>
      <c r="K78" s="83"/>
    </row>
    <row r="79" spans="1:11">
      <c r="A79" s="83"/>
      <c r="B79" s="83"/>
      <c r="C79" s="83"/>
      <c r="D79" s="83"/>
      <c r="E79" s="83"/>
      <c r="F79" s="83"/>
      <c r="G79" s="83"/>
      <c r="H79" s="83"/>
      <c r="I79" s="83"/>
      <c r="J79" s="83"/>
      <c r="K79" s="83"/>
    </row>
    <row r="80" spans="1:11">
      <c r="A80" s="83"/>
      <c r="B80" s="83"/>
      <c r="C80" s="83"/>
      <c r="D80" s="83"/>
      <c r="E80" s="83"/>
      <c r="F80" s="83"/>
      <c r="G80" s="83"/>
      <c r="H80" s="83"/>
      <c r="I80" s="83"/>
      <c r="J80" s="83"/>
      <c r="K80" s="83"/>
    </row>
    <row r="81" spans="1:11">
      <c r="A81" s="83"/>
      <c r="B81" s="83"/>
      <c r="C81" s="83"/>
      <c r="D81" s="83"/>
      <c r="E81" s="83"/>
      <c r="F81" s="83"/>
      <c r="G81" s="83"/>
      <c r="H81" s="83"/>
      <c r="I81" s="83"/>
      <c r="J81" s="83"/>
      <c r="K81" s="83"/>
    </row>
    <row r="82" spans="1:11">
      <c r="A82" s="83"/>
      <c r="B82" s="83"/>
      <c r="C82" s="83"/>
      <c r="D82" s="83"/>
      <c r="E82" s="83"/>
      <c r="F82" s="83"/>
      <c r="G82" s="83"/>
      <c r="H82" s="83"/>
      <c r="I82" s="83"/>
      <c r="J82" s="83"/>
      <c r="K82" s="83"/>
    </row>
    <row r="83" spans="1:11">
      <c r="A83" s="83"/>
      <c r="B83" s="83"/>
      <c r="C83" s="83"/>
      <c r="D83" s="83"/>
      <c r="E83" s="83"/>
      <c r="F83" s="83"/>
      <c r="G83" s="83"/>
      <c r="H83" s="83"/>
      <c r="I83" s="83"/>
      <c r="J83" s="83"/>
      <c r="K83" s="83"/>
    </row>
    <row r="84" spans="1:11">
      <c r="A84" s="83"/>
      <c r="B84" s="83"/>
      <c r="C84" s="83"/>
      <c r="D84" s="83"/>
      <c r="E84" s="83"/>
      <c r="F84" s="83"/>
      <c r="G84" s="83"/>
      <c r="H84" s="83"/>
      <c r="I84" s="83"/>
      <c r="J84" s="83"/>
      <c r="K84" s="83"/>
    </row>
    <row r="85" spans="1:11">
      <c r="A85" s="83"/>
      <c r="B85" s="83"/>
      <c r="C85" s="83"/>
      <c r="D85" s="83"/>
      <c r="E85" s="83"/>
      <c r="F85" s="83"/>
      <c r="G85" s="83"/>
      <c r="H85" s="83"/>
      <c r="I85" s="83"/>
      <c r="J85" s="83"/>
      <c r="K85" s="83"/>
    </row>
    <row r="86" spans="1:11">
      <c r="A86" s="83"/>
      <c r="B86" s="83"/>
      <c r="C86" s="83"/>
      <c r="D86" s="83"/>
      <c r="E86" s="83"/>
      <c r="F86" s="83"/>
      <c r="G86" s="83"/>
      <c r="H86" s="83"/>
      <c r="I86" s="83"/>
      <c r="J86" s="83"/>
      <c r="K86" s="83"/>
    </row>
    <row r="87" spans="1:11">
      <c r="A87" s="83"/>
      <c r="B87" s="83"/>
      <c r="C87" s="83"/>
      <c r="D87" s="83"/>
      <c r="E87" s="83"/>
      <c r="F87" s="83"/>
      <c r="G87" s="83"/>
      <c r="H87" s="83"/>
      <c r="I87" s="83"/>
      <c r="J87" s="83"/>
      <c r="K87" s="83"/>
    </row>
    <row r="88" spans="1:11">
      <c r="A88" s="83"/>
      <c r="B88" s="83"/>
      <c r="C88" s="83"/>
      <c r="D88" s="83"/>
      <c r="E88" s="83"/>
      <c r="F88" s="83"/>
      <c r="G88" s="83"/>
      <c r="H88" s="83"/>
      <c r="I88" s="83"/>
      <c r="J88" s="83"/>
      <c r="K88" s="83"/>
    </row>
    <row r="89" spans="1:11">
      <c r="A89" s="83"/>
      <c r="B89" s="83"/>
      <c r="C89" s="83"/>
      <c r="D89" s="83"/>
      <c r="E89" s="83"/>
      <c r="F89" s="83"/>
      <c r="G89" s="83"/>
      <c r="H89" s="83"/>
      <c r="I89" s="83"/>
      <c r="J89" s="83"/>
      <c r="K89" s="83"/>
    </row>
    <row r="90" spans="1:11">
      <c r="A90" s="83"/>
      <c r="B90" s="83"/>
      <c r="C90" s="83"/>
      <c r="D90" s="83"/>
      <c r="E90" s="83"/>
      <c r="F90" s="83"/>
      <c r="G90" s="83"/>
      <c r="H90" s="83"/>
      <c r="I90" s="83"/>
      <c r="J90" s="83"/>
      <c r="K90" s="83"/>
    </row>
    <row r="91" spans="1:11">
      <c r="A91" s="83"/>
      <c r="B91" s="83"/>
      <c r="C91" s="83"/>
      <c r="D91" s="83"/>
      <c r="E91" s="83"/>
      <c r="F91" s="83"/>
      <c r="G91" s="83"/>
      <c r="H91" s="83"/>
      <c r="I91" s="83"/>
      <c r="J91" s="83"/>
      <c r="K91" s="83"/>
    </row>
    <row r="92" spans="1:11">
      <c r="A92" s="83"/>
      <c r="B92" s="83"/>
      <c r="C92" s="83"/>
      <c r="D92" s="83"/>
      <c r="E92" s="83"/>
      <c r="F92" s="83"/>
      <c r="G92" s="83"/>
      <c r="H92" s="83"/>
      <c r="I92" s="83"/>
      <c r="J92" s="83"/>
      <c r="K92" s="83"/>
    </row>
    <row r="93" spans="1:11">
      <c r="A93" s="83"/>
      <c r="B93" s="83"/>
      <c r="C93" s="83"/>
      <c r="D93" s="83"/>
      <c r="E93" s="83"/>
      <c r="F93" s="83"/>
      <c r="G93" s="83"/>
      <c r="H93" s="83"/>
      <c r="I93" s="83"/>
      <c r="J93" s="83"/>
      <c r="K93" s="83"/>
    </row>
    <row r="94" spans="1:11">
      <c r="A94" s="83"/>
      <c r="B94" s="83"/>
      <c r="C94" s="83"/>
      <c r="D94" s="83"/>
      <c r="E94" s="83"/>
      <c r="F94" s="83"/>
      <c r="G94" s="83"/>
      <c r="H94" s="83"/>
      <c r="I94" s="83"/>
      <c r="J94" s="83"/>
      <c r="K94" s="83"/>
    </row>
    <row r="95" spans="1:11">
      <c r="A95" s="83"/>
      <c r="B95" s="83"/>
      <c r="C95" s="83"/>
      <c r="D95" s="83"/>
      <c r="E95" s="83"/>
      <c r="F95" s="83"/>
      <c r="G95" s="83"/>
      <c r="H95" s="83"/>
      <c r="I95" s="83"/>
      <c r="J95" s="83"/>
      <c r="K95" s="83"/>
    </row>
    <row r="96" spans="1:11">
      <c r="A96" s="83"/>
      <c r="B96" s="83"/>
      <c r="C96" s="83"/>
      <c r="D96" s="83"/>
      <c r="E96" s="83"/>
      <c r="F96" s="83"/>
      <c r="G96" s="83"/>
      <c r="H96" s="83"/>
      <c r="I96" s="83"/>
      <c r="J96" s="83"/>
      <c r="K96" s="83"/>
    </row>
    <row r="97" spans="1:11">
      <c r="A97" s="83"/>
      <c r="B97" s="83"/>
      <c r="C97" s="83"/>
      <c r="D97" s="83"/>
      <c r="E97" s="83"/>
      <c r="F97" s="83"/>
      <c r="G97" s="83"/>
      <c r="H97" s="83"/>
      <c r="I97" s="83"/>
      <c r="J97" s="83"/>
      <c r="K97" s="83"/>
    </row>
    <row r="98" spans="1:11">
      <c r="A98" s="83"/>
      <c r="B98" s="83"/>
      <c r="C98" s="83"/>
      <c r="D98" s="83"/>
      <c r="E98" s="83"/>
      <c r="F98" s="83"/>
      <c r="G98" s="83"/>
      <c r="H98" s="83"/>
      <c r="I98" s="83"/>
      <c r="J98" s="83"/>
      <c r="K98" s="83"/>
    </row>
    <row r="99" spans="1:11">
      <c r="A99" s="83"/>
      <c r="B99" s="83"/>
      <c r="C99" s="83"/>
      <c r="D99" s="83"/>
      <c r="E99" s="83"/>
      <c r="F99" s="83"/>
      <c r="G99" s="83"/>
      <c r="H99" s="83"/>
      <c r="I99" s="83"/>
      <c r="J99" s="83"/>
      <c r="K99" s="83"/>
    </row>
    <row r="100" spans="1:11">
      <c r="A100" s="83"/>
      <c r="B100" s="83"/>
      <c r="C100" s="83"/>
      <c r="D100" s="83"/>
      <c r="E100" s="83"/>
      <c r="F100" s="83"/>
      <c r="G100" s="83"/>
      <c r="H100" s="83"/>
      <c r="I100" s="83"/>
      <c r="J100" s="83"/>
      <c r="K100" s="83"/>
    </row>
    <row r="101" spans="1:11">
      <c r="A101" s="83"/>
      <c r="B101" s="83"/>
      <c r="C101" s="83"/>
      <c r="D101" s="83"/>
      <c r="E101" s="83"/>
      <c r="F101" s="83"/>
      <c r="G101" s="83"/>
      <c r="H101" s="83"/>
      <c r="I101" s="83"/>
      <c r="J101" s="83"/>
      <c r="K101" s="83"/>
    </row>
    <row r="102" spans="1:11">
      <c r="A102" s="83"/>
      <c r="B102" s="83"/>
      <c r="C102" s="83"/>
      <c r="D102" s="83"/>
      <c r="E102" s="83"/>
      <c r="F102" s="83"/>
      <c r="G102" s="83"/>
      <c r="H102" s="83"/>
      <c r="I102" s="83"/>
      <c r="J102" s="83"/>
      <c r="K102" s="83"/>
    </row>
    <row r="103" spans="1:11">
      <c r="A103" s="83"/>
      <c r="B103" s="83"/>
      <c r="C103" s="83"/>
      <c r="D103" s="83"/>
      <c r="E103" s="83"/>
      <c r="F103" s="83"/>
      <c r="G103" s="83"/>
      <c r="H103" s="83"/>
      <c r="I103" s="83"/>
      <c r="J103" s="83"/>
      <c r="K103" s="83"/>
    </row>
    <row r="104" spans="1:11">
      <c r="A104" s="83"/>
      <c r="B104" s="83"/>
      <c r="C104" s="83"/>
      <c r="D104" s="83"/>
      <c r="E104" s="83"/>
      <c r="F104" s="83"/>
      <c r="G104" s="83"/>
      <c r="H104" s="83"/>
      <c r="I104" s="83"/>
      <c r="J104" s="83"/>
      <c r="K104" s="83"/>
    </row>
    <row r="105" spans="1:11">
      <c r="A105" s="83"/>
      <c r="B105" s="83"/>
      <c r="C105" s="83"/>
      <c r="D105" s="83"/>
      <c r="E105" s="83"/>
      <c r="F105" s="83"/>
      <c r="G105" s="83"/>
      <c r="H105" s="83"/>
      <c r="I105" s="83"/>
      <c r="J105" s="83"/>
      <c r="K105" s="83"/>
    </row>
    <row r="106" spans="1:11">
      <c r="A106" s="83"/>
      <c r="B106" s="83"/>
      <c r="C106" s="83"/>
      <c r="D106" s="83"/>
      <c r="E106" s="83"/>
      <c r="F106" s="83"/>
      <c r="G106" s="83"/>
      <c r="H106" s="83"/>
      <c r="I106" s="83"/>
      <c r="J106" s="83"/>
      <c r="K106" s="83"/>
    </row>
    <row r="107" spans="1:11">
      <c r="A107" s="83"/>
      <c r="B107" s="83"/>
      <c r="C107" s="83"/>
      <c r="D107" s="83"/>
      <c r="E107" s="83"/>
      <c r="F107" s="83"/>
      <c r="G107" s="83"/>
      <c r="H107" s="83"/>
      <c r="I107" s="83"/>
      <c r="J107" s="83"/>
      <c r="K107" s="83"/>
    </row>
    <row r="108" spans="1:11">
      <c r="A108" s="83"/>
      <c r="B108" s="83"/>
      <c r="C108" s="83"/>
      <c r="D108" s="83"/>
      <c r="E108" s="83"/>
      <c r="F108" s="83"/>
      <c r="G108" s="83"/>
      <c r="H108" s="83"/>
      <c r="I108" s="83"/>
      <c r="J108" s="83"/>
      <c r="K108" s="83"/>
    </row>
    <row r="109" spans="1:11">
      <c r="A109" s="83"/>
      <c r="B109" s="83"/>
      <c r="C109" s="83"/>
      <c r="D109" s="83"/>
      <c r="E109" s="83"/>
      <c r="F109" s="83"/>
      <c r="G109" s="83"/>
      <c r="H109" s="83"/>
      <c r="I109" s="83"/>
      <c r="J109" s="83"/>
      <c r="K109" s="83"/>
    </row>
    <row r="110" spans="1:11">
      <c r="A110" s="83"/>
      <c r="B110" s="83"/>
      <c r="C110" s="83"/>
      <c r="D110" s="83"/>
      <c r="E110" s="83"/>
      <c r="F110" s="83"/>
      <c r="G110" s="83"/>
      <c r="H110" s="83"/>
      <c r="I110" s="83"/>
      <c r="J110" s="83"/>
      <c r="K110" s="83"/>
    </row>
    <row r="111" spans="1:11">
      <c r="A111" s="83"/>
      <c r="B111" s="83"/>
      <c r="C111" s="83"/>
      <c r="D111" s="83"/>
      <c r="E111" s="83"/>
      <c r="F111" s="83"/>
      <c r="G111" s="83"/>
      <c r="H111" s="83"/>
      <c r="I111" s="83"/>
      <c r="J111" s="83"/>
      <c r="K111" s="83"/>
    </row>
    <row r="112" spans="1:11">
      <c r="A112" s="83"/>
      <c r="B112" s="83"/>
      <c r="C112" s="83"/>
      <c r="D112" s="83"/>
      <c r="E112" s="83"/>
      <c r="F112" s="83"/>
      <c r="G112" s="83"/>
      <c r="H112" s="83"/>
      <c r="I112" s="83"/>
      <c r="J112" s="83"/>
      <c r="K112" s="83"/>
    </row>
    <row r="113" spans="1:18">
      <c r="A113" s="83"/>
      <c r="B113" s="83"/>
      <c r="C113" s="83"/>
      <c r="D113" s="83"/>
      <c r="E113" s="83"/>
      <c r="F113" s="83"/>
      <c r="G113" s="83"/>
      <c r="H113" s="83"/>
      <c r="I113" s="83"/>
      <c r="J113" s="83"/>
      <c r="K113" s="83"/>
    </row>
    <row r="114" spans="1:18">
      <c r="A114" s="83"/>
      <c r="B114" s="83"/>
      <c r="C114" s="83"/>
      <c r="D114" s="83"/>
      <c r="E114" s="83"/>
      <c r="F114" s="83"/>
      <c r="G114" s="83"/>
      <c r="H114" s="83"/>
      <c r="I114" s="83"/>
      <c r="J114" s="83"/>
      <c r="K114" s="83"/>
    </row>
    <row r="115" spans="1:18" s="90" customFormat="1">
      <c r="A115" s="83"/>
      <c r="B115" s="83"/>
      <c r="C115" s="83"/>
      <c r="D115" s="83"/>
      <c r="E115" s="83"/>
      <c r="F115" s="83"/>
      <c r="G115" s="83"/>
      <c r="H115" s="83"/>
      <c r="I115" s="83"/>
      <c r="J115" s="83"/>
      <c r="K115" s="83"/>
      <c r="P115" s="91"/>
      <c r="Q115" s="91"/>
      <c r="R115" s="91"/>
    </row>
    <row r="116" spans="1:18">
      <c r="A116" s="83"/>
      <c r="B116" s="83"/>
      <c r="C116" s="83"/>
      <c r="D116" s="83"/>
      <c r="E116" s="83"/>
      <c r="F116" s="83"/>
      <c r="G116" s="83"/>
      <c r="H116" s="83"/>
      <c r="I116" s="83"/>
      <c r="J116" s="83"/>
      <c r="K116" s="83"/>
    </row>
    <row r="117" spans="1:18">
      <c r="A117" s="83"/>
      <c r="B117" s="83"/>
      <c r="C117" s="83"/>
      <c r="D117" s="83"/>
      <c r="E117" s="83"/>
      <c r="F117" s="83"/>
      <c r="G117" s="83"/>
      <c r="H117" s="83"/>
      <c r="I117" s="83"/>
      <c r="J117" s="83"/>
      <c r="K117" s="83"/>
    </row>
    <row r="118" spans="1:18">
      <c r="A118" s="83"/>
      <c r="B118" s="83"/>
      <c r="C118" s="83"/>
      <c r="D118" s="83"/>
      <c r="E118" s="83"/>
      <c r="F118" s="83"/>
      <c r="G118" s="83"/>
      <c r="H118" s="83"/>
      <c r="I118" s="83"/>
      <c r="J118" s="83"/>
      <c r="K118" s="83"/>
    </row>
    <row r="119" spans="1:18">
      <c r="A119" s="83"/>
      <c r="B119" s="83"/>
      <c r="C119" s="83"/>
      <c r="D119" s="83"/>
      <c r="E119" s="83"/>
      <c r="F119" s="83"/>
      <c r="G119" s="83"/>
      <c r="H119" s="83"/>
      <c r="I119" s="83"/>
      <c r="J119" s="83"/>
      <c r="K119" s="83"/>
    </row>
    <row r="120" spans="1:18">
      <c r="A120" s="83"/>
      <c r="B120" s="83"/>
      <c r="C120" s="83"/>
      <c r="D120" s="83"/>
      <c r="E120" s="83"/>
      <c r="F120" s="83"/>
      <c r="G120" s="83"/>
      <c r="H120" s="83"/>
      <c r="I120" s="83"/>
      <c r="J120" s="83"/>
      <c r="K120" s="83"/>
    </row>
    <row r="121" spans="1:18">
      <c r="A121" s="83"/>
      <c r="B121" s="83"/>
      <c r="C121" s="83"/>
      <c r="D121" s="83"/>
      <c r="E121" s="83"/>
      <c r="F121" s="83"/>
      <c r="G121" s="83"/>
      <c r="H121" s="83"/>
      <c r="I121" s="83"/>
      <c r="J121" s="83"/>
      <c r="K121" s="83"/>
    </row>
    <row r="122" spans="1:18">
      <c r="A122" s="83"/>
      <c r="B122" s="83"/>
      <c r="C122" s="83"/>
      <c r="D122" s="83"/>
      <c r="E122" s="83"/>
      <c r="F122" s="83"/>
      <c r="G122" s="83"/>
      <c r="H122" s="83"/>
      <c r="I122" s="83"/>
      <c r="J122" s="83"/>
      <c r="K122" s="83"/>
    </row>
    <row r="123" spans="1:18">
      <c r="A123" s="83"/>
      <c r="B123" s="83"/>
      <c r="C123" s="83"/>
      <c r="D123" s="83"/>
      <c r="E123" s="83"/>
      <c r="F123" s="83"/>
      <c r="G123" s="83"/>
      <c r="H123" s="83"/>
      <c r="I123" s="83"/>
      <c r="J123" s="83"/>
      <c r="K123" s="83"/>
    </row>
    <row r="124" spans="1:18">
      <c r="A124" s="83"/>
      <c r="B124" s="83"/>
      <c r="C124" s="83"/>
      <c r="D124" s="83"/>
      <c r="E124" s="83"/>
      <c r="F124" s="83"/>
      <c r="G124" s="83"/>
      <c r="H124" s="83"/>
      <c r="I124" s="83"/>
      <c r="J124" s="83"/>
      <c r="K124" s="83"/>
    </row>
    <row r="125" spans="1:18">
      <c r="A125" s="83"/>
      <c r="B125" s="83"/>
      <c r="C125" s="83"/>
      <c r="D125" s="83"/>
      <c r="E125" s="83"/>
      <c r="F125" s="83"/>
      <c r="G125" s="83"/>
      <c r="H125" s="83"/>
      <c r="I125" s="83"/>
      <c r="J125" s="83"/>
      <c r="K125" s="83"/>
    </row>
  </sheetData>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Borrowing Base</vt:lpstr>
      <vt:lpstr>Document List</vt:lpstr>
      <vt:lpstr>AR aging</vt:lpstr>
      <vt:lpstr>detailed AR aging</vt:lpstr>
      <vt:lpstr>AP aging</vt:lpstr>
      <vt:lpstr>Inventory Listing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Billy</dc:creator>
  <cp:lastModifiedBy>Niv Skidan</cp:lastModifiedBy>
  <cp:lastPrinted>2016-11-29T14:01:27Z</cp:lastPrinted>
  <dcterms:created xsi:type="dcterms:W3CDTF">2016-10-05T13:46:30Z</dcterms:created>
  <dcterms:modified xsi:type="dcterms:W3CDTF">2017-06-29T15:35:55Z</dcterms:modified>
</cp:coreProperties>
</file>